
<file path=[Content_Types].xml><?xml version="1.0" encoding="utf-8"?>
<ns0:Types xmlns:ns0="http://schemas.openxmlformats.org/package/2006/content-types">
  <ns0:Default ContentType="application/xml" Extension="xml"/>
  <ns0:Default ContentType="application/vnd.openxmlformats-officedocument.obfuscatedFont" Extension="odttf"/>
  <ns0:Default ContentType="application/vnd.openxmlformats-package.relationships+xml" Extension="rels"/>
  <ns0:Override ContentType="application/vnd.openxmlformats-officedocument.custom-properties+xml" PartName="/docProps/custom.xml"/>
  <ns0:Override ContentType="application/vnd.openxmlformats-officedocument.spreadsheetml.worksheet+xml" PartName="/xl/worksheets/sheet1.xml"/>
  <ns0:Override ContentType="application/vnd.openxmlformats-officedocument.spreadsheetml.worksheet+xml" PartName="/xl/worksheets/sheet2.xml"/>
  <ns0:Override ContentType="application/vnd.openxmlformats-officedocument.spreadsheetml.worksheet+xml" PartName="/xl/worksheets/sheet3.xml"/>
  <ns0:Override ContentType="application/binary" PartName="/xl/metadata"/>
  <ns0:Override ContentType="application/vnd.openxmlformats-officedocument.spreadsheetml.sharedStrings+xml" PartName="/xl/sharedStrings.xml"/>
  <ns0:Override ContentType="application/vnd.openxmlformats-officedocument.drawing+xml" PartName="/xl/drawings/drawing3.xml"/>
  <ns0:Override ContentType="application/vnd.openxmlformats-officedocument.drawing+xml" PartName="/xl/drawings/drawing1.xml"/>
  <ns0:Override ContentType="application/vnd.openxmlformats-officedocument.drawing+xml" PartName="/xl/drawings/drawing2.xml"/>
  <ns0:Override ContentType="application/vnd.openxmlformats-package.core-properties+xml" PartName="/docProps/core.xml"/>
  <ns0:Override ContentType="application/vnd.openxmlformats-officedocument.spreadsheetml.styles+xml" PartName="/xl/styles.xml"/>
  <ns0:Override ContentType="application/vnd.openxmlformats-officedocument.theme+xml" PartName="/xl/theme/theme1.xml"/>
  <ns0:Override ContentType="application/vnd.openxmlformats-officedocument.spreadsheetml.sheet.main+xml" PartName="/xl/workbook.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</ns0: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2="http://customooxmlschemas.google.com/" xmlns:r="http://schemas.openxmlformats.org/officeDocument/2006/relationships">
  <workbookPr/>
  <sheets>
    <sheet state="visible" name="Инструкция" sheetId="1" r:id="rId4"/>
    <sheet state="visible" name="A-Допущения" sheetId="2" r:id="rId5"/>
    <sheet state="visible" name="A-TCO" sheetId="3" r:id="rId6"/>
    <sheet state="visible" name="B-Допущения" sheetId="4" r:id="rId8"/>
    <sheet state="visible" name="B-TCO" sheetId="5" r:id="rId9"/>
    <sheet state="visible" name="C-Допущения" sheetId="6" r:id="rId10"/>
    <sheet state="visible" name="C-TCO" sheetId="7" r:id="rId11"/>
  </sheets>
  <definedNames/>
  <calcPr calcId="191029" fullCalcOnLoad="1" forceFullCalc="1"/>
  <extLst>
    <ext uri="GoogleSheetsCustomDataVersion2">
      <ns2:sheetsCustomData r:id="rId7" roundtripDataChecksum="s1gNHq3pXRMNuR9zTBGmXgJKbQ3SM3fGus9ppFAMrRg="/>
    </ext>
  </extLst>
</workbook>
</file>

<file path=xl/sharedStrings.xml><?xml version="1.0" encoding="utf-8"?>
<sst xmlns="http://schemas.openxmlformats.org/spreadsheetml/2006/main" count="238" uniqueCount="189">
  <si>
    <t>Модель TCO (Total Cost of Ownership) — кейс «Africa Delivery», горизонт 5 лет</t>
  </si>
  <si>
    <t>TCO на 5 лет — Africa Delivery</t>
  </si>
  <si>
    <t>Допущения модели TCO — Africa Delivery</t>
  </si>
  <si>
    <t>Зачем этот файл</t>
  </si>
  <si>
    <t>Заполняются только ячейки с жёлтой заливкой. Все числа ниже — пример, заменить своими.</t>
  </si>
  <si>
    <t>Заполняем колонки «Драйвер роста» и «База, $/год (Год 1)». Годы 1–5 считаются автоматически.</t>
  </si>
  <si>
    <t>Задача</t>
  </si>
  <si>
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</si>
  <si>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>Как использовать</t>
  </si>
  <si>
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</si>
  <si>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>Цветовая легенда</t>
  </si>
  <si>
    <t>Синий текст на жёлтом фоне</t>
  </si>
  <si>
    <t>Ячейки для заполнения. Только их и редактируем.</t>
  </si>
  <si>
    <t>Чёрный текст</t>
  </si>
  <si>
    <t>Формулы. Не трогаем — пересчитаются сами.</t>
  </si>
  <si>
    <t>1. Драйверы бизнеса — заполнить</t>
  </si>
  <si>
    <t>Зелёный текст</t>
  </si>
  <si>
    <t>Ссылка на лист «Допущения».</t>
  </si>
  <si>
    <t>Порядок работы</t>
  </si>
  <si>
    <t>Шаг 1</t>
  </si>
  <si>
    <t>Лист «Допущения» → блок 1: вбить драйверы бизнеса по годам (активные пользователи, число заказов, средний чек). Из них считается GMV.</t>
  </si>
  <si>
    <t>Шаг 2</t>
  </si>
  <si>
    <t>Лист «Допущения» → блок 2: финансовые допущения (инфляция, рост ФОТ, ставка дисконтирования, резерв, целевой SLO).</t>
  </si>
  <si>
    <t>Шаг 3</t>
  </si>
  <si>
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</si>
  <si>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>Шаг 4</t>
  </si>
  <si>
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</si>
  <si>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>Шаг 5</t>
  </si>
  <si>
    <t>Посмотреть блок «Ключевые метрики» внизу листа «TCO»: итог за 5 лет, NPV, стоимость на заказ, проверку бюджета CFO ($5k/мес на облако).</t>
  </si>
  <si>
    <t>Что важно не забыть в этом кейсе</t>
  </si>
  <si>
    <t>Бюджет CFO</t>
  </si>
  <si>
    <t>$5 000/мес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</si>
  <si>
    <t>Цена простоя</t>
  </si>
  <si>
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</si>
  <si>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>Показатель</t>
  </si>
  <si>
    <t>Транзакционные расходы</t>
  </si>
  <si>
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</si>
  <si>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>Сравнение вариантов</t>
  </si>
  <si>
    <t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</si>
  <si>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>Разовые затраты</t>
  </si>
  <si>
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</si>
  <si>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>Статья затрат</t>
  </si>
  <si>
    <t>Год 1</t>
  </si>
  <si>
    <t>Люди</t>
  </si>
  <si>
    <t>Год 2</t>
  </si>
  <si>
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</si>
  <si>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>Год 3</t>
  </si>
  <si>
    <t>Год 4</t>
  </si>
  <si>
    <t>Год 5</t>
  </si>
  <si>
    <t>Драйвер роста</t>
  </si>
  <si>
    <t>Комментарий / источник</t>
  </si>
  <si>
    <t>Все числа в файле — примеры для демонстрации формата. Замени их своими оценками и укажи источник в колонке «Комментарий / источник».</t>
  </si>
  <si>
    <t>База, $/год (Год 1)</t>
  </si>
  <si>
    <t>Активные пользователи (на конец года)</t>
  </si>
  <si>
    <t>Цель кейса: 1М+ пользователей к 12 месяцам, 5 стран</t>
  </si>
  <si>
    <t>Число заказов в год</t>
  </si>
  <si>
    <t>MVP: 100 продавцов, 5000 SKU. Оценка студента</t>
  </si>
  <si>
    <t>Средний чек (AOV), $</t>
  </si>
  <si>
    <t>Оценка студента по рынку (Jumia / Takealot)</t>
  </si>
  <si>
    <t>GMV, $ в год (расчёт)</t>
  </si>
  <si>
    <t>Итого 5 лет</t>
  </si>
  <si>
    <t>Доля</t>
  </si>
  <si>
    <t>БЛОК 1. Облачная инфраструктура (OpEx)</t>
  </si>
  <si>
    <t>Compute: ноды / контейнеры / serverless</t>
  </si>
  <si>
    <t>пользователи</t>
  </si>
  <si>
    <t>Расчёт: заказы × средний чек</t>
  </si>
  <si>
    <t>2. Финансовые допущения — заполнить</t>
  </si>
  <si>
    <t>Параметр</t>
  </si>
  <si>
    <t>Значение</t>
  </si>
  <si>
    <t>Инфляция затрат, % в год</t>
  </si>
  <si>
    <t>Применяется к статьям с драйвером «инфляция»</t>
  </si>
  <si>
    <t>Рост ФОТ, % в год</t>
  </si>
  <si>
    <t>Дефицит ИТ-специалистов на рынке — рост выше инфляции</t>
  </si>
  <si>
    <t>Ставка дисконтирования, % в год</t>
  </si>
  <si>
    <t>Для расчёта NPV затрат. Стартап, высокий риск</t>
  </si>
  <si>
    <t>Резерв на непредвиденное (contingency), %</t>
  </si>
  <si>
    <t>Надбавка к прямым затратам</t>
  </si>
  <si>
    <t>Бюджет CFO на облако, $/мес</t>
  </si>
  <si>
    <t>Ограничение из письма CFO</t>
  </si>
  <si>
    <t>Стоимость минуты простоя, $</t>
  </si>
  <si>
    <t>Оценка инвестора из условия кейса</t>
  </si>
  <si>
    <t>Целевой SLO (доступность), %</t>
  </si>
  <si>
    <t>Mission critical: 99,99% = 52,6 мин/год</t>
  </si>
  <si>
    <t>Учитывать стоимость простоя в TCO (1 — да, 0 — нет)</t>
  </si>
  <si>
    <t>Переключатель для сценарного анализа</t>
  </si>
  <si>
    <t>3. Индексы роста — расчёт, не редактировать</t>
  </si>
  <si>
    <t>Драйвер</t>
  </si>
  <si>
    <t>Как считается</t>
  </si>
  <si>
    <t>фикс</t>
  </si>
  <si>
    <t>Затраты не меняются по годам</t>
  </si>
  <si>
    <t>инфляция</t>
  </si>
  <si>
    <t>Год N = Год N-1 × (1 + инфляция)</t>
  </si>
  <si>
    <t>ФОТ</t>
  </si>
  <si>
    <t>Год N = Год N-1 × (1 + рост ФОТ)</t>
  </si>
  <si>
    <t>Пропорционально числу активных пользователей</t>
  </si>
  <si>
    <t>заказы</t>
  </si>
  <si>
    <t>Пропорционально числу заказов</t>
  </si>
  <si>
    <t>GMV</t>
  </si>
  <si>
    <t>Пропорционально обороту</t>
  </si>
  <si>
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</si>
  <si>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>AWS af-south-1, оценка по калькулятору</t>
  </si>
  <si>
    <t>Управляемые БД (PostgreSQL, реплики)</t>
  </si>
  <si>
    <t>Managed RDS + read replica</t>
  </si>
  <si>
    <t>Хранилище объектов и резервные копии</t>
  </si>
  <si>
    <t>Фото товаров, 5000 SKU на старте</t>
  </si>
  <si>
    <t>CDN и исходящий трафик</t>
  </si>
  <si>
    <t>70% трафика — мобильный 3G, картинки WebP</t>
  </si>
  <si>
    <t>Очереди / стриминг (Kafka, SQS)</t>
  </si>
  <si>
    <t>Асинхронные заказы и уведомления</t>
  </si>
  <si>
    <t>Резервный регион / DR</t>
  </si>
  <si>
    <t>Зависит от выбранной стратегии RTO/RPO</t>
  </si>
  <si>
    <t>Локальное размещение данных (NDPR, Нигерия)</t>
  </si>
  <si>
    <t>Локальный провайдер или партнёр — см. ADR №3</t>
  </si>
  <si>
    <t>Своя статья</t>
  </si>
  <si>
    <t>Итого по блоку</t>
  </si>
  <si>
    <t>БЛОК 2. Лицензии, SaaS и инструменты</t>
  </si>
  <si>
    <t>Observability (метрики, логи, трейсинг)</t>
  </si>
  <si>
    <t>Объём логов растёт с нагрузкой</t>
  </si>
  <si>
    <t>CI/CD, репозиторий, артефакты</t>
  </si>
  <si>
    <t>GitHub / GitLab, тарифы на команду</t>
  </si>
  <si>
    <t>Безопасность: WAF, секреты, антифрод</t>
  </si>
  <si>
    <t>Мошенничество на ПВЗ — риск из кейса</t>
  </si>
  <si>
    <t>WhatsApp Business API (подписка)</t>
  </si>
  <si>
    <t>Канал для продавцов без личного кабинета</t>
  </si>
  <si>
    <t>Прочее ПО и подписки</t>
  </si>
  <si>
    <t>Таск-трекер, дизайн, аналитика</t>
  </si>
  <si>
    <t>БЛОК 3. Транзакционные расходы (Buy / Partner)</t>
  </si>
  <si>
    <t>Комиссии платёжных провайдеров</t>
  </si>
  <si>
    <t>≈3% от GMV: M-Pesa (Кения), Flutterwave / Paystack (Нигерия)</t>
  </si>
  <si>
    <t>SMS-уведомления</t>
  </si>
  <si>
    <t>≈$0,04 за SMS × заказы</t>
  </si>
  <si>
    <t>WhatsApp-сообщения (за диалог)</t>
  </si>
  <si>
    <t>Тариф Meta за conversation</t>
  </si>
  <si>
    <t>Логистика: интеграции и комиссии партнёров</t>
  </si>
  <si>
    <t>Sendbox (Нигерия), Sendy (Кения)</t>
  </si>
  <si>
    <t>БЛОК 4. Команда (ФОТ)</t>
  </si>
  <si>
    <t>Разработка (FTE × годовая ставка)</t>
  </si>
  <si>
    <t>Например 6 FTE × $60k. Зависит от арх. варианта!</t>
  </si>
  <si>
    <t>DevOps / SRE</t>
  </si>
  <si>
    <t>Микросервисы требуют больше SRE, чем монолит</t>
  </si>
  <si>
    <t>Поддержка и дежурства 24/7</t>
  </si>
  <si>
    <t>Требование mission critical: дежурство ночью</t>
  </si>
  <si>
    <t>Архитектура и менеджмент</t>
  </si>
  <si>
    <t>Solution Architect, CTO-функция, PM</t>
  </si>
  <si>
    <t>БЛОК 5. Разовые затраты и комплаенс</t>
  </si>
  <si>
    <t>Юридический и комплаенс-аудит (NDPR, POPIA, KICA)</t>
  </si>
  <si>
    <t>Разовая статья — обнули лишние годы вручную</t>
  </si>
  <si>
    <t>Пентест и аудит безопасности</t>
  </si>
  <si>
    <t>Ежегодно, если mission critical</t>
  </si>
  <si>
    <t>Миграция данных и интеграции при запуске</t>
  </si>
  <si>
    <t>Разовая статья</t>
  </si>
  <si>
    <t>Обучение команды и найм</t>
  </si>
  <si>
    <t>Дефицит локальных ИТ-специалистов</t>
  </si>
  <si>
    <t>Резерв на непредвиденное (contingency)</t>
  </si>
  <si>
    <t>Расчёт: сумма блоков 1–5 × ставка резерва с листа «Допущения»</t>
  </si>
  <si>
    <t>ИТОГО прямые затраты (TCO без учёта простоев)</t>
  </si>
  <si>
    <t>БЛОК 6. Стоимость недоступности (риск)</t>
  </si>
  <si>
    <t>Ожидаемые потери из-за простоя при целевом SLO</t>
  </si>
  <si>
    <t>Расчёт: (1 − SLO) × 525 600 мин/год × стоимость минуты × переключатель. 525 600 — число минут в году</t>
  </si>
  <si>
    <t>ИТОГО TCO с учётом стоимости простоя</t>
  </si>
  <si>
    <t>Коэффициент дисконтирования</t>
  </si>
  <si>
    <t>Дисконтированный TCO (NPV затрат)</t>
  </si>
  <si>
    <t>Ключевые метрики</t>
  </si>
  <si>
    <t>TCO за 5 лет, прямые затраты</t>
  </si>
  <si>
    <t>Основная цифра для сравнения вариантов в ADR</t>
  </si>
  <si>
    <t>TCO за 5 лет с учётом простоя</t>
  </si>
  <si>
    <t>Показывает цену недоступности для mission critical</t>
  </si>
  <si>
    <t>NPV затрат за 5 лет</t>
  </si>
  <si>
    <t>Затраты, приведённые к сегодняшнему дню</t>
  </si>
  <si>
    <t>Средние затраты в год</t>
  </si>
  <si>
    <t>Ориентир для планирования бюджета</t>
  </si>
  <si>
    <t>Облако, $/мес в Год 1</t>
  </si>
  <si>
    <t>Сравнивается с лимитом CFO</t>
  </si>
  <si>
    <t>Проверка бюджета CFO на Год 1</t>
  </si>
  <si>
    <t>Если превышение — объясни в ADR, чем жертвуешь</t>
  </si>
  <si>
    <t>TCO на 1 заказ за 5 лет</t>
  </si>
  <si>
    <t>Юнит-экономика: сколько ИТ стоит в одном заказе</t>
  </si>
  <si>
    <t>TCO на 1 активного пользователя (Год 5)</t>
  </si>
  <si>
    <t>Проверка масштабируемости модели</t>
  </si>
  <si>
    <t>Затраты ИТ как доля GMV за 5 лет</t>
  </si>
  <si>
    <t>Здоровый маркетплейс — единицы процентов</t>
  </si>
  <si>
    <t>Доля облачной инфраструктуры в TCO</t>
  </si>
  <si>
    <t>Обычно меньше, чем ожидают студенты</t>
  </si>
  <si>
    <t>Доля транзакционных расходов в TCO</t>
  </si>
  <si>
    <t>Растёт быстрее всего вместе с GMV</t>
  </si>
  <si>
    <t>Доля команды (ФОТ) в TCO</t>
  </si>
  <si>
    <t>Как правило, крупнейшая статья</t>
  </si>
  <si>
    <t>Вывод для ADR (заполнить текстом): какой вариант дешевле, за счёт чего, и какие допущения сильнее всего влияют на результат?</t>
  </si>
  <si>
    <t>Например: вариант «модульный монолит» дешевле на 5 лет за счёт меньшего ФОТ и SRE, но при росте выше 3М пользователей разрыв сокращается — точка пересмотра решения (см. ADR №1).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</si>
</sst>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3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i/>
      <sz val="9.0"/>
      <color rgb="FF808080"/>
      <name val="Arial"/>
    </font>
    <font>
      <b/>
      <sz val="11.0"/>
      <color rgb="FFFFFFFF"/>
      <name val="Arial"/>
    </font>
    <font>
      <b/>
      <sz val="10.0"/>
      <color rgb="FFC00000"/>
      <name val="Arial"/>
    </font>
    <font>
      <sz val="10.0"/>
      <color rgb="FF0000FF"/>
      <name val="Arial"/>
    </font>
    <font>
      <color theme="1"/>
      <name val="Calibri"/>
      <scheme val="minor"/>
    </font>
    <font>
      <sz val="10.0"/>
      <color rgb="FF008000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2" fontId="4" numFmtId="0" xfId="0" applyAlignment="1" applyBorder="1" applyFill="1" applyFont="1">
      <alignment shrinkToFit="0" vertical="bottom" wrapText="0"/>
    </xf>
    <xf borderId="2" fillId="2" fontId="5" numFmtId="0" xfId="0" applyAlignment="1" applyBorder="1" applyFill="1" applyFont="1">
      <alignment shrinkToFit="0" vertical="bottom" wrapText="0"/>
    </xf>
    <xf borderId="2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2" fillId="0" fontId="3" numFmtId="0" xfId="0" applyAlignment="1" applyBorder="1" applyFont="1">
      <alignment shrinkToFit="0" vertical="bottom" wrapText="0"/>
    </xf>
    <xf borderId="2" fillId="4" fontId="9" numFmtId="3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shrinkToFit="0" vertical="top" wrapText="1"/>
    </xf>
    <xf borderId="2" fillId="4" fontId="9" numFmtId="164" xfId="0" applyAlignment="1" applyBorder="1" applyFill="1" applyFont="1" applyNumberForma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165" xfId="0" applyAlignment="1" applyBorder="1" applyFont="1" applyNumberFormat="1">
      <alignment shrinkToFit="0" vertical="bottom" wrapText="0"/>
    </xf>
    <xf borderId="2" fillId="4" fontId="9" numFmtId="0" xfId="0" applyAlignment="1" applyBorder="1" applyFill="1" applyFont="1">
      <alignment shrinkToFit="0" vertical="bottom" wrapText="0"/>
    </xf>
    <xf borderId="2" fillId="4" fontId="9" numFmtId="165" xfId="0" applyAlignment="1" applyBorder="1" applyFill="1" applyFont="1" applyNumberFormat="1">
      <alignment shrinkToFit="0" vertical="bottom" wrapText="0"/>
    </xf>
    <xf borderId="2" fillId="4" fontId="9" numFmtId="166" xfId="0" applyAlignment="1" applyBorder="1" applyFill="1" applyFont="1" applyNumberFormat="1">
      <alignment shrinkToFit="0" vertical="bottom" wrapText="0"/>
    </xf>
    <xf borderId="2" fillId="4" fontId="9" numFmtId="167" xfId="0" applyAlignment="1" applyBorder="1" applyFill="1" applyFont="1" applyNumberFormat="1">
      <alignment shrinkToFit="0" vertical="bottom" wrapText="0"/>
    </xf>
    <xf borderId="2" fillId="4" fontId="9" numFmtId="1" xfId="0" applyAlignment="1" applyBorder="1" applyFill="1" applyFont="1" applyNumberFormat="1">
      <alignment shrinkToFit="0" vertical="bottom" wrapText="0"/>
    </xf>
    <xf borderId="2" fillId="0" fontId="3" numFmtId="2" xfId="0" applyAlignment="1" applyBorder="1" applyFont="1" applyNumberFormat="1">
      <alignment shrinkToFit="0" vertical="bottom" wrapText="0"/>
    </xf>
    <xf borderId="2" fillId="0" fontId="3" numFmtId="165" xfId="0" applyAlignment="1" applyBorder="1" applyFont="1" applyNumberForma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shrinkToFit="0" vertical="top" wrapText="1"/>
    </xf>
    <xf borderId="2" fillId="5" fontId="2" numFmtId="0" xfId="0" applyAlignment="1" applyBorder="1" applyFill="1" applyFont="1">
      <alignment shrinkToFit="0" vertical="bottom" wrapText="0"/>
    </xf>
    <xf borderId="2" fillId="5" fontId="5" numFmtId="0" xfId="0" applyAlignment="1" applyBorder="1" applyFill="1" applyFont="1">
      <alignment shrinkToFit="0" vertical="bottom" wrapText="0"/>
    </xf>
    <xf borderId="2" fillId="5" fontId="2" numFmtId="165" xfId="0" applyAlignment="1" applyBorder="1" applyFill="1" applyFont="1" applyNumberFormat="1">
      <alignment shrinkToFit="0" vertical="bottom" wrapText="0"/>
    </xf>
    <xf borderId="2" fillId="5" fontId="2" numFmtId="166" xfId="0" applyAlignment="1" applyBorder="1" applyFill="1" applyFont="1" applyNumberFormat="1">
      <alignment shrinkToFit="0" vertical="bottom" wrapText="0"/>
    </xf>
    <xf borderId="0" fillId="0" fontId="10" numFmtId="0" xfId="0" applyFont="1"/>
    <xf borderId="2" fillId="0" fontId="11" numFmtId="165" xfId="0" applyAlignment="1" applyBorder="1" applyFont="1" applyNumberFormat="1">
      <alignment shrinkToFit="0" vertical="bottom" wrapText="0"/>
    </xf>
    <xf borderId="2" fillId="0" fontId="11" numFmtId="168" xfId="0" applyAlignment="1" applyBorder="1" applyFont="1" applyNumberFormat="1">
      <alignment shrinkToFit="0" vertical="bottom" wrapText="0"/>
    </xf>
    <xf borderId="3" fillId="6" fontId="2" numFmtId="165" xfId="0" applyAlignment="1" applyBorder="1" applyFill="1" applyFont="1" applyNumberFormat="1">
      <alignment shrinkToFit="0" vertical="bottom" wrapText="0"/>
    </xf>
    <xf borderId="4" fillId="0" fontId="12" numFmtId="0" xfId="0" applyBorder="1" applyFont="1"/>
    <xf borderId="3" fillId="6" fontId="2" numFmtId="0" xfId="0" applyAlignment="1" applyBorder="1" applyFill="1" applyFont="1">
      <alignment shrinkToFit="0" vertical="bottom" wrapText="0"/>
    </xf>
    <xf borderId="3" fillId="6" fontId="2" numFmtId="164" xfId="0" applyAlignment="1" applyBorder="1" applyFill="1" applyFont="1" applyNumberFormat="1">
      <alignment shrinkToFit="0" vertical="bottom" wrapText="0"/>
    </xf>
    <xf borderId="3" fillId="6" fontId="2" numFmtId="10" xfId="0" applyAlignment="1" applyBorder="1" applyFill="1" applyFont="1" applyNumberFormat="1">
      <alignment shrinkToFit="0" vertical="bottom" wrapText="0"/>
    </xf>
    <xf borderId="3" fillId="6" fontId="2" numFmtId="166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5" fillId="4" fontId="9" numFmtId="0" xfId="0" applyAlignment="1" applyBorder="1" applyFill="1" applyFont="1">
      <alignment shrinkToFit="0" vertical="top" wrapText="1"/>
    </xf>
    <xf borderId="6" fillId="0" fontId="12" numFmtId="0" xfId="0" applyBorder="1" applyFont="1"/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10" fillId="0" fontId="12" numFmtId="0" xfId="0" applyBorder="1" applyFont="1"/>
    <xf borderId="11" fillId="0" fontId="12" numFmtId="0" xfId="0" applyBorder="1" applyFont="1"/>
    <xf borderId="12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openxmlformats.org/officeDocument/2006/relationships/worksheet" Target="worksheets/sheet1.xml" /><ns0:Relationship Id="rId5" Type="http://schemas.openxmlformats.org/officeDocument/2006/relationships/worksheet" Target="worksheets/sheet2.xml" /><ns0:Relationship Id="rId6" Type="http://schemas.openxmlformats.org/officeDocument/2006/relationships/worksheet" Target="worksheets/sheet3.xml" /><ns0:Relationship Id="rId7" Type="http://customschemas.google.com/relationships/workbookmetadata" Target="metadata" /><ns0:Relationship Id="rId8" Type="http://schemas.openxmlformats.org/officeDocument/2006/relationships/worksheet" Target="worksheets/sheet4.xml" /><ns0:Relationship Id="rId9" Type="http://schemas.openxmlformats.org/officeDocument/2006/relationships/worksheet" Target="worksheets/sheet5.xml" /><ns0:Relationship Id="rId10" Type="http://schemas.openxmlformats.org/officeDocument/2006/relationships/worksheet" Target="worksheets/sheet6.xml" /><ns0:Relationship Id="rId11" Type="http://schemas.openxmlformats.org/officeDocument/2006/relationships/worksheet" Target="worksheets/sheet7.xml" />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6.0"/>
    <col customWidth="1" min="3" max="3" width="78.0"/>
    <col customWidth="1" min="4" max="26" width="8.71"/>
  </cols>
  <sheetData>
    <row r="2">
      <c r="B2" s="1" t="s">
        <v>0</v>
      </c>
    </row>
    <row r="3">
      <c r="B3" s="2"/>
      <c r="C3" s="3"/>
    </row>
    <row r="4">
      <c r="B4" s="4" t="s">
        <v>3</v>
      </c>
      <c r="C4" s="5"/>
    </row>
    <row r="5" ht="30.0" customHeight="1">
      <c r="B5" s="2" t="s">
        <v>6</v>
      </c>
      <c r="C5" s="3" t="s">
        <v>7</v>
      </c>
    </row>
    <row r="6" ht="30.0" customHeight="1">
      <c r="B6" s="2" t="s">
        <v>8</v>
      </c>
      <c r="C6" s="3" t="s">
        <v>9</v>
      </c>
    </row>
    <row r="7">
      <c r="B7" s="2"/>
      <c r="C7" s="3"/>
    </row>
    <row r="8">
      <c r="B8" s="4" t="s">
        <v>10</v>
      </c>
      <c r="C8" s="5"/>
    </row>
    <row r="9">
      <c r="B9" s="2" t="s">
        <v>11</v>
      </c>
      <c r="C9" s="3" t="s">
        <v>12</v>
      </c>
    </row>
    <row r="10">
      <c r="B10" s="2" t="s">
        <v>13</v>
      </c>
      <c r="C10" s="3" t="s">
        <v>14</v>
      </c>
    </row>
    <row r="11">
      <c r="B11" s="2" t="s">
        <v>16</v>
      </c>
      <c r="C11" s="3" t="s">
        <v>17</v>
      </c>
    </row>
    <row r="12">
      <c r="B12" s="2"/>
      <c r="C12" s="3"/>
    </row>
    <row r="13">
      <c r="B13" s="4" t="s">
        <v>18</v>
      </c>
      <c r="C13" s="5"/>
    </row>
    <row r="14" ht="30.0" customHeight="1">
      <c r="B14" s="2" t="s">
        <v>19</v>
      </c>
      <c r="C14" s="3" t="s">
        <v>20</v>
      </c>
    </row>
    <row r="15" ht="30.0" customHeight="1">
      <c r="B15" s="2" t="s">
        <v>21</v>
      </c>
      <c r="C15" s="3" t="s">
        <v>22</v>
      </c>
    </row>
    <row r="16" ht="30.0" customHeight="1">
      <c r="B16" s="2" t="s">
        <v>23</v>
      </c>
      <c r="C16" s="3" t="s">
        <v>24</v>
      </c>
    </row>
    <row r="17" ht="30.0" customHeight="1">
      <c r="B17" s="2" t="s">
        <v>25</v>
      </c>
      <c r="C17" s="3" t="s">
        <v>26</v>
      </c>
    </row>
    <row r="18" ht="30.0" customHeight="1">
      <c r="B18" s="2" t="s">
        <v>27</v>
      </c>
      <c r="C18" s="3" t="inlineStr">
        <is>
          <t>Проверьте ключевые показатели на каждом листе TCO: совокупные затраты за пять лет, приведённую стоимость затрат, стоимость одного заказа и соблюдение лимита финансового директора на облако ($5 000 в месяц).</t>
        </is>
      </c>
    </row>
    <row r="19">
      <c r="B19" s="2"/>
      <c r="C19" s="3"/>
    </row>
    <row r="20">
      <c r="B20" s="4" t="s">
        <v>29</v>
      </c>
      <c r="C20" s="5"/>
    </row>
    <row r="21" ht="30.0" customHeight="1">
      <c r="B21" s="2" t="s">
        <v>30</v>
      </c>
      <c r="C21" s="3" t="inlineStr">
        <is>
          <t>$5 000 в месяц на облачную инфраструктуру при запуске. Если затраты первого года превышают лимит, укажите, от чего отказываетесь, либо запросите исключение у финансового директора.</t>
        </is>
      </c>
    </row>
    <row r="22" ht="30.0" customHeight="1">
      <c r="B22" s="2" t="s">
        <v>32</v>
      </c>
      <c r="C22" s="3" t="s">
        <v>33</v>
      </c>
    </row>
    <row r="23" ht="30.0" customHeight="1">
      <c r="B23" s="2" t="s">
        <v>35</v>
      </c>
      <c r="C23" s="3" t="s">
        <v>36</v>
      </c>
    </row>
    <row r="24" ht="30.0" customHeight="1">
      <c r="B24" s="2" t="s">
        <v>37</v>
      </c>
      <c r="C24" s="3" t="s">
        <v>38</v>
      </c>
    </row>
    <row r="25" ht="30.0" customHeight="1">
      <c r="B25" s="2" t="s">
        <v>39</v>
      </c>
      <c r="C25" s="3" t="s">
        <v>40</v>
      </c>
    </row>
    <row r="26" ht="30.0" customHeight="1">
      <c r="B26" s="2" t="s">
        <v>43</v>
      </c>
      <c r="C26" s="3" t="s">
        <v>45</v>
      </c>
    </row>
    <row r="27" ht="15.75" customHeight="1">
      <c r="B27" s="2"/>
      <c r="C27" s="3"/>
    </row>
    <row r="28" ht="30.0" customHeight="1">
      <c r="B28" s="10" t="s">
        <v>51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8:C2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7" width="15.0"/>
    <col customWidth="1" min="8" max="8" width="52.0"/>
    <col customWidth="1" min="9" max="26" width="8.71"/>
  </cols>
  <sheetData>
    <row r="2">
      <c r="B2" s="1" t="s">
        <v>2</v>
      </c>
    </row>
    <row r="3">
      <c r="B3" s="6" t="s">
        <v>4</v>
      </c>
    </row>
    <row r="5">
      <c r="B5" s="7" t="s">
        <v>15</v>
      </c>
      <c r="C5" s="8"/>
      <c r="D5" s="8"/>
      <c r="E5" s="8"/>
      <c r="F5" s="8"/>
      <c r="G5" s="8"/>
      <c r="H5" s="8"/>
    </row>
    <row r="6">
      <c r="B6" s="9" t="s">
        <v>34</v>
      </c>
      <c r="C6" s="9" t="s">
        <v>42</v>
      </c>
      <c r="D6" s="9" t="s">
        <v>44</v>
      </c>
      <c r="E6" s="9" t="s">
        <v>46</v>
      </c>
      <c r="F6" s="9" t="s">
        <v>47</v>
      </c>
      <c r="G6" s="9" t="s">
        <v>48</v>
      </c>
      <c r="H6" s="9" t="s">
        <v>50</v>
      </c>
    </row>
    <row r="7">
      <c r="B7" s="11" t="s">
        <v>53</v>
      </c>
      <c r="C7" s="12">
        <v>1000000</v>
      </c>
      <c r="D7" s="12">
        <v>2000000</v>
      </c>
      <c r="E7" s="12">
        <v>4000000</v>
      </c>
      <c r="F7" s="12">
        <v>7000000</v>
      </c>
      <c r="G7" s="12">
        <v>10000000</v>
      </c>
      <c r="H7" s="13" t="inlineStr">
        <is>
          <t>Цель кейса: 1 млн активных пользователей в первый год; расчётный сценарий — 10 млн.</t>
        </is>
      </c>
    </row>
    <row r="8">
      <c r="B8" s="11" t="s">
        <v>55</v>
      </c>
      <c r="C8" s="12">
        <v>300000</v>
      </c>
      <c r="D8" s="12">
        <v>1800000</v>
      </c>
      <c r="E8" s="12">
        <v>6000000</v>
      </c>
      <c r="F8" s="12">
        <v>12000000</v>
      </c>
      <c r="G8" s="12">
        <v>18000000</v>
      </c>
      <c r="H8" s="13" t="inlineStr">
        <is>
          <t>От 300 тыс. до 18 млн заказов в год; единый сценарий спроса для всех вариантов.</t>
        </is>
      </c>
    </row>
    <row r="9">
      <c r="B9" s="11" t="s">
        <v>57</v>
      </c>
      <c r="C9" s="14">
        <v>25</v>
      </c>
      <c r="D9" s="14">
        <v>26</v>
      </c>
      <c r="E9" s="14">
        <v>27</v>
      </c>
      <c r="F9" s="14">
        <v>28</v>
      </c>
      <c r="G9" s="14">
        <v>29</v>
      </c>
      <c r="H9" s="13" t="inlineStr">
        <is>
          <t>Плановая оценка среднего чека; доллары США 2026 года; точность ±30%.</t>
        </is>
      </c>
    </row>
    <row r="10">
      <c r="B10" s="15" t="s">
        <v>59</v>
      </c>
      <c r="C10" s="16">
        <f>C8*C9</f>
        <v>7500000</v>
      </c>
      <c r="D10" s="16">
        <f>D8*D9</f>
        <v>46800000</v>
      </c>
      <c r="E10" s="16">
        <f>E8*E9</f>
        <v>162000000</v>
      </c>
      <c r="F10" s="16">
        <f>F8*F9</f>
        <v>336000000</v>
      </c>
      <c r="G10" s="16">
        <f>G8*G9</f>
        <v>522000000</v>
      </c>
      <c r="H10" s="13" t="inlineStr">
        <is>
          <t>Расчёт: число заказов за год × средний чек.</t>
        </is>
      </c>
    </row>
    <row r="12">
      <c r="B12" s="7" t="s">
        <v>66</v>
      </c>
      <c r="C12" s="8"/>
      <c r="D12" s="8"/>
      <c r="E12" s="8"/>
      <c r="F12" s="8"/>
      <c r="G12" s="8"/>
      <c r="H12" s="8"/>
    </row>
    <row r="13">
      <c r="B13" s="9" t="s">
        <v>67</v>
      </c>
      <c r="C13" s="9" t="s">
        <v>68</v>
      </c>
      <c r="D13" s="9"/>
      <c r="E13" s="9"/>
      <c r="F13" s="9"/>
      <c r="G13" s="9"/>
      <c r="H13" s="9" t="s">
        <v>50</v>
      </c>
    </row>
    <row r="14">
      <c r="B14" s="11" t="s">
        <v>69</v>
      </c>
      <c r="C14" s="19">
        <v>0.08</v>
      </c>
      <c r="H14" s="13" t="inlineStr">
        <is>
          <t>Плановое допущение из модели задания 2; применяется к затратам, растущим с инфляцией.</t>
        </is>
      </c>
    </row>
    <row r="15">
      <c r="B15" s="11" t="s">
        <v>71</v>
      </c>
      <c r="C15" s="19">
        <v>0.12</v>
      </c>
      <c r="H15" s="13" t="inlineStr">
        <is>
          <t>Плановое допущение из модели задания 2; применяется к фонду оплаты труда.</t>
        </is>
      </c>
    </row>
    <row r="16">
      <c r="B16" s="11" t="s">
        <v>73</v>
      </c>
      <c r="C16" s="19">
        <v>0.2</v>
      </c>
      <c r="H16" s="13" t="inlineStr">
        <is>
          <t>Ставка дисконтирования для стартапа с высоким уровнем риска.</t>
        </is>
      </c>
    </row>
    <row r="17">
      <c r="B17" s="11" t="s">
        <v>75</v>
      </c>
      <c r="C17" s="19">
        <v>0.15</v>
      </c>
      <c r="H17" s="13" t="inlineStr">
        <is>
          <t>Резерв начисляется на сумму блоков 1–5.</t>
        </is>
      </c>
    </row>
    <row r="18">
      <c r="B18" s="11" t="s">
        <v>77</v>
      </c>
      <c r="C18" s="18">
        <v>5000</v>
      </c>
      <c r="H18" s="13" t="inlineStr">
        <is>
          <t>Письмо финансового директора, п. 1: жёсткий лимит $5 000 в месяц.</t>
        </is>
      </c>
    </row>
    <row r="19">
      <c r="B19" s="11" t="s">
        <v>79</v>
      </c>
      <c r="C19" s="18">
        <v>12000</v>
      </c>
      <c r="H19" s="13" t="inlineStr">
        <is>
          <t>Оценка инвестора; используется для анализа чувствительности, а не как подтверждённый ожидаемый ущерб.</t>
        </is>
      </c>
    </row>
    <row r="20">
      <c r="B20" s="11" t="s">
        <v>81</v>
      </c>
      <c r="C20" s="20">
        <v>0.9995</v>
      </c>
      <c r="H20" s="13" t="inlineStr">
        <is>
          <t>Плановый целевой уровень обслуживания для инициации платежа из задания 3; для каталога и уведомлений установлены отдельные показатели.</t>
        </is>
      </c>
    </row>
    <row r="21" ht="15.75" customHeight="1">
      <c r="B21" s="11" t="s">
        <v>83</v>
      </c>
      <c r="C21" s="21">
        <v>1</v>
      </c>
      <c r="H21" s="13" t="inlineStr">
        <is>
          <t>Значение 1 сохраняет оценку потерь от простоя отдельно от прямых затрат.</t>
        </is>
      </c>
    </row>
    <row r="22" ht="15.75" customHeight="1"/>
    <row r="23" ht="15.75" customHeight="1">
      <c r="B23" s="7" t="s">
        <v>85</v>
      </c>
      <c r="C23" s="8"/>
      <c r="D23" s="8"/>
      <c r="E23" s="8"/>
      <c r="F23" s="8"/>
      <c r="G23" s="8"/>
      <c r="H23" s="8"/>
    </row>
    <row r="24" ht="15.75" customHeight="1">
      <c r="B24" s="9" t="s">
        <v>86</v>
      </c>
      <c r="C24" s="9" t="s">
        <v>42</v>
      </c>
      <c r="D24" s="9" t="s">
        <v>44</v>
      </c>
      <c r="E24" s="9" t="s">
        <v>46</v>
      </c>
      <c r="F24" s="9" t="s">
        <v>47</v>
      </c>
      <c r="G24" s="9" t="s">
        <v>48</v>
      </c>
      <c r="H24" s="9" t="s">
        <v>87</v>
      </c>
    </row>
    <row r="25" ht="15.75" customHeight="1">
      <c r="B25" s="11" t="inlineStr">
        <is>
          <t>мощность</t>
        </is>
      </c>
      <c r="C25" s="22">
        <f>SQRT(C7/$C$7)</f>
        <v>1</v>
      </c>
      <c r="D25" s="22">
        <f>SQRT(D7/$C$7)</f>
        <v>1.4142135623731</v>
      </c>
      <c r="E25" s="22">
        <f>SQRT(E7/$C$7)</f>
        <v>2</v>
      </c>
      <c r="F25" s="22">
        <f>SQRT(F7/$C$7)</f>
        <v>2.64575131106459</v>
      </c>
      <c r="G25" s="22">
        <f>SQRT(G7/$C$7)</f>
        <v>3.16227766016838</v>
      </c>
      <c r="H25" s="13" t="inlineStr">
        <is>
          <t>Квадратный корень из роста активных пользователей; учитывает экономию от масштаба инфраструктуры.</t>
        </is>
      </c>
    </row>
    <row r="26" ht="15.75" customHeight="1">
      <c r="B26" s="11" t="inlineStr">
        <is>
          <t>нагрузка заказов</t>
        </is>
      </c>
      <c r="C26" s="22">
        <f>SQRT(C8/$C$8)</f>
        <v>1</v>
      </c>
      <c r="D26" s="22">
        <f>SQRT(D8/$C$8)</f>
        <v>2.44948974278318</v>
      </c>
      <c r="E26" s="22">
        <f>SQRT(E8/$C$8)</f>
        <v>4.47213595499958</v>
      </c>
      <c r="F26" s="22">
        <f>SQRT(F8/$C$8)</f>
        <v>6.32455532033676</v>
      </c>
      <c r="G26" s="22">
        <f>SQRT(G8/$C$8)</f>
        <v>7.74596669241483</v>
      </c>
      <c r="H26" s="13" t="inlineStr">
        <is>
          <t>Квадратный корень из роста числа заказов; применяется к трафику и асинхронной обработке.</t>
        </is>
      </c>
    </row>
    <row r="27" ht="15.75" customHeight="1">
      <c r="B27" s="11" t="inlineStr">
        <is>
          <t>инфляция</t>
        </is>
      </c>
      <c r="C27" s="22">
        <f>1</f>
        <v>1</v>
      </c>
      <c r="D27" s="22">
        <f>C27*(1+$C$14)</f>
        <v>1.08</v>
      </c>
      <c r="E27" s="22">
        <f>D27*(1+$C$14)</f>
        <v>1.1664</v>
      </c>
      <c r="F27" s="22">
        <f>E27*(1+$C$14)</f>
        <v>1.259712</v>
      </c>
      <c r="G27" s="22">
        <f>F27*(1+$C$14)</f>
        <v>1.36048896</v>
      </c>
      <c r="H27" s="13" t="inlineStr">
        <is>
          <t>Год N = предыдущий год × (1 + инфляция затрат).</t>
        </is>
      </c>
    </row>
    <row r="28" ht="15.75" customHeight="1">
      <c r="B28" s="11" t="inlineStr">
        <is>
          <t>ФОТ</t>
        </is>
      </c>
      <c r="C28" s="22">
        <f>1</f>
        <v>1</v>
      </c>
      <c r="D28" s="22">
        <f>C28*(1+$C$15)</f>
        <v>1.12</v>
      </c>
      <c r="E28" s="22">
        <f>D28*(1+$C$15)</f>
        <v>1.2544</v>
      </c>
      <c r="F28" s="22">
        <f>E28*(1+$C$15)</f>
        <v>1.404928</v>
      </c>
      <c r="G28" s="22">
        <f>F28*(1+$C$15)</f>
        <v>1.57351936</v>
      </c>
      <c r="H28" s="13" t="inlineStr">
        <is>
          <t>Год N = предыдущий год × (1 + рост ФОТ).</t>
        </is>
      </c>
    </row>
    <row r="29" ht="15.75" customHeight="1">
      <c r="B29" s="11" t="inlineStr">
        <is>
          <t>заказы</t>
        </is>
      </c>
      <c r="C29" s="22">
        <f>C8/$C$8</f>
        <v>1</v>
      </c>
      <c r="D29" s="22">
        <f>D8/$C$8</f>
        <v>6</v>
      </c>
      <c r="E29" s="22">
        <f>E8/$C$8</f>
        <v>20</v>
      </c>
      <c r="F29" s="22">
        <f>F8/$C$8</f>
        <v>40</v>
      </c>
      <c r="G29" s="22">
        <f>G8/$C$8</f>
        <v>60</v>
      </c>
      <c r="H29" s="13" t="inlineStr">
        <is>
          <t>Линейная зависимость от числа заказов для поштучно тарифицируемых услуг партнёров.</t>
        </is>
      </c>
    </row>
    <row r="30" ht="15.75" customHeight="1">
      <c r="B30" s="11" t="inlineStr">
        <is>
          <t>оборот (GMV)</t>
        </is>
      </c>
      <c r="C30" s="22">
        <f>C10/$C$10</f>
        <v>1</v>
      </c>
      <c r="D30" s="22">
        <f>D10/$C$10</f>
        <v>6.24</v>
      </c>
      <c r="E30" s="22">
        <f>E10/$C$10</f>
        <v>21.6</v>
      </c>
      <c r="F30" s="22">
        <f>F10/$C$10</f>
        <v>44.8</v>
      </c>
      <c r="G30" s="22">
        <f>G10/$C$10</f>
        <v>69.6</v>
      </c>
      <c r="H30" s="13" t="inlineStr">
        <is>
          <t>Линейная зависимость комиссий платёжных провайдеров от оборота.</t>
        </is>
      </c>
    </row>
    <row r="31" ht="15.75" customHeight="1"/>
    <row r="32" ht="15.0" customHeight="1">
      <c r="B32" s="13" t="inlineStr">
        <is>
          <t>Заданные показатели мощности растут пропорционально квадратному корню из нагрузки и учитывают экономию от масштаба; транзакционные расходы растут линейно с числом заказов или оборотом.</t>
        </is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2:H3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44.0"/>
    <col customWidth="1" min="3" max="3" width="16.0"/>
    <col customWidth="1" min="4" max="4" width="15.0"/>
    <col customWidth="1" min="5" max="10" width="14.0"/>
    <col customWidth="1" min="11" max="11" width="10.0"/>
    <col customWidth="1" min="12" max="12" width="46.0"/>
    <col customWidth="1" min="13" max="26" width="8.71"/>
  </cols>
  <sheetData>
    <row r="2">
      <c r="B2" s="1" t="s">
        <v>1</v>
      </c>
    </row>
    <row r="3">
      <c r="B3" s="6" t="s">
        <v>5</v>
      </c>
    </row>
    <row r="5" ht="31.5" customHeight="1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B7" s="11" t="inlineStr">
        <is>
          <t>Вычислительные ресурсы и контейнеры</t>
        </is>
      </c>
      <c r="C7" s="17" t="inlineStr">
        <is>
          <t>мощность</t>
        </is>
      </c>
      <c r="D7" s="18">
        <v>14400</v>
      </c>
      <c r="E7" s="23">
        <f>IF($D7="","",$D7*INDEX('A-Допущения'!$C$25:$G$30,MATCH($C7,'A-Допущения'!$B$25:$B$30,0),1))</f>
        <v>14400</v>
      </c>
      <c r="F7" s="23">
        <f>IF($D7="","",$D7*INDEX('A-Допущения'!$C$25:$G$30,MATCH($C7,'A-Допущения'!$B$25:$B$30,0),2))</f>
        <v>20364.6752981726</v>
      </c>
      <c r="G7" s="23">
        <f>IF($D7="","",$D7*INDEX('A-Допущения'!$C$25:$G$30,MATCH($C7,'A-Допущения'!$B$25:$B$30,0),3))</f>
        <v>28800</v>
      </c>
      <c r="H7" s="23">
        <f>IF($D7="","",$D7*INDEX('A-Допущения'!$C$25:$G$30,MATCH($C7,'A-Допущения'!$B$25:$B$30,0),4))</f>
        <v>38098.8188793301</v>
      </c>
      <c r="I7" s="23">
        <f>IF($D7="","",$D7*INDEX('A-Допущения'!$C$25:$G$30,MATCH($C7,'A-Допущения'!$B$25:$B$30,0),5))</f>
        <v>45536.7983064247</v>
      </c>
      <c r="J7" s="23">
        <f>SUM(E7:I7)</f>
        <v>147200.292483927</v>
      </c>
      <c r="K7" s="24"/>
      <c r="L7" s="25" t="inlineStr">
        <is>
          <t>Экземпляры модульного монолита без локального состояния; предварительная оценка.</t>
        </is>
      </c>
    </row>
    <row r="8">
      <c r="B8" s="11" t="inlineStr">
        <is>
          <t>Управляемая СУБД PostgreSQL</t>
        </is>
      </c>
      <c r="C8" s="17" t="inlineStr">
        <is>
          <t>мощность</t>
        </is>
      </c>
      <c r="D8" s="18">
        <v>9600</v>
      </c>
      <c r="E8" s="23">
        <f>IF($D8="","",$D8*INDEX('A-Допущения'!$C$25:$G$30,MATCH($C8,'A-Допущения'!$B$25:$B$30,0),1))</f>
        <v>9600</v>
      </c>
      <c r="F8" s="23">
        <f>IF($D8="","",$D8*INDEX('A-Допущения'!$C$25:$G$30,MATCH($C8,'A-Допущения'!$B$25:$B$30,0),2))</f>
        <v>13576.4501987817</v>
      </c>
      <c r="G8" s="23">
        <f>IF($D8="","",$D8*INDEX('A-Допущения'!$C$25:$G$30,MATCH($C8,'A-Допущения'!$B$25:$B$30,0),3))</f>
        <v>19200</v>
      </c>
      <c r="H8" s="23">
        <f>IF($D8="","",$D8*INDEX('A-Допущения'!$C$25:$G$30,MATCH($C8,'A-Допущения'!$B$25:$B$30,0),4))</f>
        <v>25399.2125862201</v>
      </c>
      <c r="I8" s="23">
        <f>IF($D8="","",$D8*INDEX('A-Допущения'!$C$25:$G$30,MATCH($C8,'A-Допущения'!$B$25:$B$30,0),5))</f>
        <v>30357.8655376164</v>
      </c>
      <c r="J8" s="23">
        <f>SUM(E8:I8)</f>
        <v>98133.5283226182</v>
      </c>
      <c r="K8" s="24"/>
      <c r="L8" s="25" t="inlineStr">
        <is>
          <t>Отказоустойчивая управляемая СУБД PostgreSQL; предварительная оценка.</t>
        </is>
      </c>
    </row>
    <row r="9">
      <c r="B9" s="11" t="inlineStr">
        <is>
          <t>Объектное хранилище и резервные копии</t>
        </is>
      </c>
      <c r="C9" s="17" t="inlineStr">
        <is>
          <t>мощность</t>
        </is>
      </c>
      <c r="D9" s="18">
        <v>2400</v>
      </c>
      <c r="E9" s="23">
        <f>IF($D9="","",$D9*INDEX('A-Допущения'!$C$25:$G$30,MATCH($C9,'A-Допущения'!$B$25:$B$30,0),1))</f>
        <v>2400</v>
      </c>
      <c r="F9" s="23">
        <f>IF($D9="","",$D9*INDEX('A-Допущения'!$C$25:$G$30,MATCH($C9,'A-Допущения'!$B$25:$B$30,0),2))</f>
        <v>3394.11254969543</v>
      </c>
      <c r="G9" s="23">
        <f>IF($D9="","",$D9*INDEX('A-Допущения'!$C$25:$G$30,MATCH($C9,'A-Допущения'!$B$25:$B$30,0),3))</f>
        <v>4800</v>
      </c>
      <c r="H9" s="23">
        <f>IF($D9="","",$D9*INDEX('A-Допущения'!$C$25:$G$30,MATCH($C9,'A-Допущения'!$B$25:$B$30,0),4))</f>
        <v>6349.80314655502</v>
      </c>
      <c r="I9" s="23">
        <f>IF($D9="","",$D9*INDEX('A-Допущения'!$C$25:$G$30,MATCH($C9,'A-Допущения'!$B$25:$B$30,0),5))</f>
        <v>7589.46638440411</v>
      </c>
      <c r="J9" s="23">
        <f>SUM(E9:I9)</f>
        <v>24533.3820806546</v>
      </c>
      <c r="K9" s="24"/>
      <c r="L9" s="25" t="inlineStr">
        <is>
          <t>5 000 товарных позиций при запуске и защищённые резервные копии.</t>
        </is>
      </c>
    </row>
    <row r="10">
      <c r="B10" s="11" t="inlineStr">
        <is>
          <t>Сеть доставки содержимого (CDN) и исходящий трафик</t>
        </is>
      </c>
      <c r="C10" s="17" t="inlineStr">
        <is>
          <t>нагрузка заказов</t>
        </is>
      </c>
      <c r="D10" s="18">
        <v>6000</v>
      </c>
      <c r="E10" s="23">
        <f>IF($D10="","",$D10*INDEX('A-Допущения'!$C$25:$G$30,MATCH($C10,'A-Допущения'!$B$25:$B$30,0),1))</f>
        <v>6000</v>
      </c>
      <c r="F10" s="23">
        <f>IF($D10="","",$D10*INDEX('A-Допущения'!$C$25:$G$30,MATCH($C10,'A-Допущения'!$B$25:$B$30,0),2))</f>
        <v>14696.9384566991</v>
      </c>
      <c r="G10" s="23">
        <f>IF($D10="","",$D10*INDEX('A-Допущения'!$C$25:$G$30,MATCH($C10,'A-Допущения'!$B$25:$B$30,0),3))</f>
        <v>26832.8157299975</v>
      </c>
      <c r="H10" s="23">
        <f>IF($D10="","",$D10*INDEX('A-Допущения'!$C$25:$G$30,MATCH($C10,'A-Допущения'!$B$25:$B$30,0),4))</f>
        <v>37947.3319220206</v>
      </c>
      <c r="I10" s="23">
        <f>IF($D10="","",$D10*INDEX('A-Допущения'!$C$25:$G$30,MATCH($C10,'A-Допущения'!$B$25:$B$30,0),5))</f>
        <v>46475.800154489</v>
      </c>
      <c r="J10" s="23">
        <f>SUM(E10:I10)</f>
        <v>131952.886263206</v>
      </c>
      <c r="K10" s="24"/>
      <c r="L10" s="25" t="inlineStr">
        <is>
          <t>Изображения WebP/AVIF, оптимизированные для мобильных сетей.</t>
        </is>
      </c>
    </row>
    <row r="11">
      <c r="B11" s="11" t="inlineStr">
        <is>
          <t>Очередь и фоновые задания</t>
        </is>
      </c>
      <c r="C11" s="17" t="inlineStr">
        <is>
          <t>нагрузка заказов</t>
        </is>
      </c>
      <c r="D11" s="18">
        <v>1200</v>
      </c>
      <c r="E11" s="23">
        <f>IF($D11="","",$D11*INDEX('A-Допущения'!$C$25:$G$30,MATCH($C11,'A-Допущения'!$B$25:$B$30,0),1))</f>
        <v>1200</v>
      </c>
      <c r="F11" s="23">
        <f>IF($D11="","",$D11*INDEX('A-Допущения'!$C$25:$G$30,MATCH($C11,'A-Допущения'!$B$25:$B$30,0),2))</f>
        <v>2939.38769133981</v>
      </c>
      <c r="G11" s="23">
        <f>IF($D11="","",$D11*INDEX('A-Допущения'!$C$25:$G$30,MATCH($C11,'A-Допущения'!$B$25:$B$30,0),3))</f>
        <v>5366.5631459995</v>
      </c>
      <c r="H11" s="23">
        <f>IF($D11="","",$D11*INDEX('A-Допущения'!$C$25:$G$30,MATCH($C11,'A-Допущения'!$B$25:$B$30,0),4))</f>
        <v>7589.46638440411</v>
      </c>
      <c r="I11" s="23">
        <f>IF($D11="","",$D11*INDEX('A-Допущения'!$C$25:$G$30,MATCH($C11,'A-Допущения'!$B$25:$B$30,0),5))</f>
        <v>9295.1600308978</v>
      </c>
      <c r="J11" s="23">
        <f>SUM(E11:I11)</f>
        <v>26390.5772526412</v>
      </c>
      <c r="K11" s="24"/>
      <c r="L11" s="25" t="inlineStr">
        <is>
          <t>Управляемая очередь либо фоновые задания на основе базы данных.</t>
        </is>
      </c>
    </row>
    <row r="12">
      <c r="B12" s="11" t="inlineStr">
        <is>
          <t>Тёплый резерв для аварийного восстановления</t>
        </is>
      </c>
      <c r="C12" s="17" t="inlineStr">
        <is>
          <t>мощность</t>
        </is>
      </c>
      <c r="D12" s="18">
        <v>6000</v>
      </c>
      <c r="E12" s="23">
        <f>IF($D12="","",$D12*INDEX('A-Допущения'!$C$25:$G$30,MATCH($C12,'A-Допущения'!$B$25:$B$30,0),1))</f>
        <v>6000</v>
      </c>
      <c r="F12" s="23">
        <f>IF($D12="","",$D12*INDEX('A-Допущения'!$C$25:$G$30,MATCH($C12,'A-Допущения'!$B$25:$B$30,0),2))</f>
        <v>8485.28137423857</v>
      </c>
      <c r="G12" s="23">
        <f>IF($D12="","",$D12*INDEX('A-Допущения'!$C$25:$G$30,MATCH($C12,'A-Допущения'!$B$25:$B$30,0),3))</f>
        <v>12000</v>
      </c>
      <c r="H12" s="23">
        <f>IF($D12="","",$D12*INDEX('A-Допущения'!$C$25:$G$30,MATCH($C12,'A-Допущения'!$B$25:$B$30,0),4))</f>
        <v>15874.5078663875</v>
      </c>
      <c r="I12" s="23">
        <f>IF($D12="","",$D12*INDEX('A-Допущения'!$C$25:$G$30,MATCH($C12,'A-Допущения'!$B$25:$B$30,0),5))</f>
        <v>18973.6659610103</v>
      </c>
      <c r="J12" s="23">
        <f>SUM(E12:I12)</f>
        <v>61333.4552016364</v>
      </c>
      <c r="K12" s="24"/>
      <c r="L12" s="25" t="inlineStr">
        <is>
          <t>Резервные копии, восстановление и тёплые вычислительные ресурсы.</t>
        </is>
      </c>
    </row>
    <row r="13">
      <c r="B13" s="11" t="inlineStr">
        <is>
          <t>Локальное размещение данных в Нигерии</t>
        </is>
      </c>
      <c r="C13" s="17" t="inlineStr">
        <is>
          <t>инфляция</t>
        </is>
      </c>
      <c r="D13" s="18">
        <v>9000</v>
      </c>
      <c r="E13" s="23">
        <f>IF($D13="","",$D13*INDEX('A-Допущения'!$C$25:$G$30,MATCH($C13,'A-Допущения'!$B$25:$B$30,0),1))</f>
        <v>9000</v>
      </c>
      <c r="F13" s="23">
        <f>IF($D13="","",$D13*INDEX('A-Допущения'!$C$25:$G$30,MATCH($C13,'A-Допущения'!$B$25:$B$30,0),2))</f>
        <v>9720</v>
      </c>
      <c r="G13" s="23">
        <f>IF($D13="","",$D13*INDEX('A-Допущения'!$C$25:$G$30,MATCH($C13,'A-Допущения'!$B$25:$B$30,0),3))</f>
        <v>10497.6</v>
      </c>
      <c r="H13" s="23">
        <f>IF($D13="","",$D13*INDEX('A-Допущения'!$C$25:$G$30,MATCH($C13,'A-Допущения'!$B$25:$B$30,0),4))</f>
        <v>11337.408</v>
      </c>
      <c r="I13" s="23">
        <f>IF($D13="","",$D13*INDEX('A-Допущения'!$C$25:$G$30,MATCH($C13,'A-Допущения'!$B$25:$B$30,0),5))</f>
        <v>12244.40064</v>
      </c>
      <c r="J13" s="23">
        <f>SUM(E13:I13)</f>
        <v>52799.40864</v>
      </c>
      <c r="K13" s="24"/>
      <c r="L13" s="25" t="inlineStr">
        <is>
          <t>Плановый резерв; требуется коммерческое предложение провайдера из задания 4.</t>
        </is>
      </c>
    </row>
    <row r="14">
      <c r="B14" s="11" t="inlineStr">
        <is>
          <t/>
        </is>
      </c>
      <c r="C14" s="17" t="inlineStr">
        <is>
          <t>инфляция</t>
        </is>
      </c>
      <c r="D14" s="18"/>
      <c r="E14" s="23">
        <f>IF($D14="","",$D14*INDEX('A-Допущения'!$C$25:$G$30,MATCH($C14,'A-Допущения'!$B$25:$B$30,0),1))</f>
        <v/>
      </c>
      <c r="F14" s="23">
        <f>IF($D14="","",$D14*INDEX('A-Допущения'!$C$25:$G$30,MATCH($C14,'A-Допущения'!$B$25:$B$30,0),2))</f>
        <v/>
      </c>
      <c r="G14" s="23">
        <f>IF($D14="","",$D14*INDEX('A-Допущения'!$C$25:$G$30,MATCH($C14,'A-Допущения'!$B$25:$B$30,0),3))</f>
        <v/>
      </c>
      <c r="H14" s="23">
        <f>IF($D14="","",$D14*INDEX('A-Допущения'!$C$25:$G$30,MATCH($C14,'A-Допущения'!$B$25:$B$30,0),4))</f>
        <v/>
      </c>
      <c r="I14" s="23">
        <f>IF($D14="","",$D14*INDEX('A-Допущения'!$C$25:$G$30,MATCH($C14,'A-Допущения'!$B$25:$B$30,0),5))</f>
        <v/>
      </c>
      <c r="J14" s="23">
        <f>SUM(E14:I14)</f>
        <v>0</v>
      </c>
      <c r="K14" s="24"/>
      <c r="L14" s="25" t="inlineStr">
        <is>
          <t/>
        </is>
      </c>
    </row>
    <row r="15">
      <c r="B15" s="26" t="s">
        <v>114</v>
      </c>
      <c r="C15" s="27"/>
      <c r="D15" s="27"/>
      <c r="E15" s="28">
        <f>SUM(E7:E14)</f>
        <v>48600</v>
      </c>
      <c r="F15" s="28">
        <f>SUM(F7:F14)</f>
        <v>73176.8455689272</v>
      </c>
      <c r="G15" s="28">
        <f>SUM(G7:G14)</f>
        <v>107496.978875997</v>
      </c>
      <c r="H15" s="28">
        <f>SUM(H7:H14)</f>
        <v>142596.548784917</v>
      </c>
      <c r="I15" s="28">
        <f>SUM(I7:I14)</f>
        <v>170473.157014842</v>
      </c>
      <c r="J15" s="28">
        <f>SUM(E15:I15)</f>
        <v>542343.530244684</v>
      </c>
      <c r="K15" s="29">
        <f>IFERROR(J15/$J$51,0)</f>
        <v>0.0127594514850628</v>
      </c>
      <c r="L15" s="27"/>
    </row>
    <row r="16">
      <c r="C16" s="30"/>
    </row>
    <row r="17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>
      <c r="B18" s="11" t="inlineStr">
        <is>
          <t>Наблюдаемость</t>
        </is>
      </c>
      <c r="C18" s="17" t="inlineStr">
        <is>
          <t>мощность</t>
        </is>
      </c>
      <c r="D18" s="18">
        <v>2400</v>
      </c>
      <c r="E18" s="23">
        <f>IF($D18="","",$D18*INDEX('A-Допущения'!$C$25:$G$30,MATCH($C18,'A-Допущения'!$B$25:$B$30,0),1))</f>
        <v>2400</v>
      </c>
      <c r="F18" s="23">
        <f>IF($D18="","",$D18*INDEX('A-Допущения'!$C$25:$G$30,MATCH($C18,'A-Допущения'!$B$25:$B$30,0),2))</f>
        <v>3394.11254969543</v>
      </c>
      <c r="G18" s="23">
        <f>IF($D18="","",$D18*INDEX('A-Допущения'!$C$25:$G$30,MATCH($C18,'A-Допущения'!$B$25:$B$30,0),3))</f>
        <v>4800</v>
      </c>
      <c r="H18" s="23">
        <f>IF($D18="","",$D18*INDEX('A-Допущения'!$C$25:$G$30,MATCH($C18,'A-Допущения'!$B$25:$B$30,0),4))</f>
        <v>6349.80314655502</v>
      </c>
      <c r="I18" s="23">
        <f>IF($D18="","",$D18*INDEX('A-Допущения'!$C$25:$G$30,MATCH($C18,'A-Допущения'!$B$25:$B$30,0),5))</f>
        <v>7589.46638440411</v>
      </c>
      <c r="J18" s="23">
        <f>SUM(E18:I18)</f>
        <v>24533.3820806546</v>
      </c>
      <c r="K18" s="24"/>
      <c r="L18" s="25" t="inlineStr">
        <is>
          <t>Решения с открытым исходным кодом и ограниченный срок хранения телеметрии.</t>
        </is>
      </c>
    </row>
    <row r="19">
      <c r="B19" s="11" t="inlineStr">
        <is>
          <t>Непрерывная интеграция и доставка, репозиторий, артефакты</t>
        </is>
      </c>
      <c r="C19" s="17" t="inlineStr">
        <is>
          <t>инфляция</t>
        </is>
      </c>
      <c r="D19" s="18">
        <v>1200</v>
      </c>
      <c r="E19" s="23">
        <f>IF($D19="","",$D19*INDEX('A-Допущения'!$C$25:$G$30,MATCH($C19,'A-Допущения'!$B$25:$B$30,0),1))</f>
        <v>1200</v>
      </c>
      <c r="F19" s="23">
        <f>IF($D19="","",$D19*INDEX('A-Допущения'!$C$25:$G$30,MATCH($C19,'A-Допущения'!$B$25:$B$30,0),2))</f>
        <v>1296</v>
      </c>
      <c r="G19" s="23">
        <f>IF($D19="","",$D19*INDEX('A-Допущения'!$C$25:$G$30,MATCH($C19,'A-Допущения'!$B$25:$B$30,0),3))</f>
        <v>1399.68</v>
      </c>
      <c r="H19" s="23">
        <f>IF($D19="","",$D19*INDEX('A-Допущения'!$C$25:$G$30,MATCH($C19,'A-Допущения'!$B$25:$B$30,0),4))</f>
        <v>1511.6544</v>
      </c>
      <c r="I19" s="23">
        <f>IF($D19="","",$D19*INDEX('A-Допущения'!$C$25:$G$30,MATCH($C19,'A-Допущения'!$B$25:$B$30,0),5))</f>
        <v>1632.586752</v>
      </c>
      <c r="J19" s="23">
        <f>SUM(E19:I19)</f>
        <v>7039.921152</v>
      </c>
      <c r="K19" s="24"/>
      <c r="L19" s="25" t="inlineStr">
        <is>
          <t>Расчёт для команды из шести человек.</t>
        </is>
      </c>
    </row>
    <row r="20">
      <c r="B20" s="11" t="inlineStr">
        <is>
          <t>Безопасность: межсетевой экран веб-приложений и секреты</t>
        </is>
      </c>
      <c r="C20" s="17" t="inlineStr">
        <is>
          <t>мощность</t>
        </is>
      </c>
      <c r="D20" s="18">
        <v>3600</v>
      </c>
      <c r="E20" s="23">
        <f>IF($D20="","",$D20*INDEX('A-Допущения'!$C$25:$G$30,MATCH($C20,'A-Допущения'!$B$25:$B$30,0),1))</f>
        <v>3600</v>
      </c>
      <c r="F20" s="23">
        <f>IF($D20="","",$D20*INDEX('A-Допущения'!$C$25:$G$30,MATCH($C20,'A-Допущения'!$B$25:$B$30,0),2))</f>
        <v>5091.16882454314</v>
      </c>
      <c r="G20" s="23">
        <f>IF($D20="","",$D20*INDEX('A-Допущения'!$C$25:$G$30,MATCH($C20,'A-Допущения'!$B$25:$B$30,0),3))</f>
        <v>7200</v>
      </c>
      <c r="H20" s="23">
        <f>IF($D20="","",$D20*INDEX('A-Допущения'!$C$25:$G$30,MATCH($C20,'A-Допущения'!$B$25:$B$30,0),4))</f>
        <v>9524.70471983253</v>
      </c>
      <c r="I20" s="23">
        <f>IF($D20="","",$D20*INDEX('A-Допущения'!$C$25:$G$30,MATCH($C20,'A-Допущения'!$B$25:$B$30,0),5))</f>
        <v>11384.1995766062</v>
      </c>
      <c r="J20" s="23">
        <f>SUM(E20:I20)</f>
        <v>36800.0731209818</v>
      </c>
      <c r="K20" s="24"/>
      <c r="L20" s="25" t="inlineStr">
        <is>
          <t>Управляемые средства защиты.</t>
        </is>
      </c>
    </row>
    <row r="21" ht="15.75" customHeight="1">
      <c r="B21" s="11" t="inlineStr">
        <is>
          <t>Фиксированная плата за WhatsApp Business API</t>
        </is>
      </c>
      <c r="C21" s="17" t="inlineStr">
        <is>
          <t>инфляция</t>
        </is>
      </c>
      <c r="D21" s="18">
        <v>1200</v>
      </c>
      <c r="E21" s="23">
        <f>IF($D21="","",$D21*INDEX('A-Допущения'!$C$25:$G$30,MATCH($C21,'A-Допущения'!$B$25:$B$30,0),1))</f>
        <v>1200</v>
      </c>
      <c r="F21" s="23">
        <f>IF($D21="","",$D21*INDEX('A-Допущения'!$C$25:$G$30,MATCH($C21,'A-Допущения'!$B$25:$B$30,0),2))</f>
        <v>1296</v>
      </c>
      <c r="G21" s="23">
        <f>IF($D21="","",$D21*INDEX('A-Допущения'!$C$25:$G$30,MATCH($C21,'A-Допущения'!$B$25:$B$30,0),3))</f>
        <v>1399.68</v>
      </c>
      <c r="H21" s="23">
        <f>IF($D21="","",$D21*INDEX('A-Допущения'!$C$25:$G$30,MATCH($C21,'A-Допущения'!$B$25:$B$30,0),4))</f>
        <v>1511.6544</v>
      </c>
      <c r="I21" s="23">
        <f>IF($D21="","",$D21*INDEX('A-Допущения'!$C$25:$G$30,MATCH($C21,'A-Допущения'!$B$25:$B$30,0),5))</f>
        <v>1632.586752</v>
      </c>
      <c r="J21" s="23">
        <f>SUM(E21:I21)</f>
        <v>7039.921152</v>
      </c>
      <c r="K21" s="24"/>
      <c r="L21" s="25" t="inlineStr">
        <is>
          <t>Постоянная плата; переменные расходы учтены в блоке 3.</t>
        </is>
      </c>
    </row>
    <row r="22" ht="15.75" customHeight="1">
      <c r="B22" s="11" t="inlineStr">
        <is>
          <t>Прочие инструменты разработки</t>
        </is>
      </c>
      <c r="C22" s="17" t="inlineStr">
        <is>
          <t>инфляция</t>
        </is>
      </c>
      <c r="D22" s="18">
        <v>1200</v>
      </c>
      <c r="E22" s="23">
        <f>IF($D22="","",$D22*INDEX('A-Допущения'!$C$25:$G$30,MATCH($C22,'A-Допущения'!$B$25:$B$30,0),1))</f>
        <v>1200</v>
      </c>
      <c r="F22" s="23">
        <f>IF($D22="","",$D22*INDEX('A-Допущения'!$C$25:$G$30,MATCH($C22,'A-Допущения'!$B$25:$B$30,0),2))</f>
        <v>1296</v>
      </c>
      <c r="G22" s="23">
        <f>IF($D22="","",$D22*INDEX('A-Допущения'!$C$25:$G$30,MATCH($C22,'A-Допущения'!$B$25:$B$30,0),3))</f>
        <v>1399.68</v>
      </c>
      <c r="H22" s="23">
        <f>IF($D22="","",$D22*INDEX('A-Допущения'!$C$25:$G$30,MATCH($C22,'A-Допущения'!$B$25:$B$30,0),4))</f>
        <v>1511.6544</v>
      </c>
      <c r="I22" s="23">
        <f>IF($D22="","",$D22*INDEX('A-Допущения'!$C$25:$G$30,MATCH($C22,'A-Допущения'!$B$25:$B$30,0),5))</f>
        <v>1632.586752</v>
      </c>
      <c r="J22" s="23">
        <f>SUM(E22:I22)</f>
        <v>7039.921152</v>
      </c>
      <c r="K22" s="24"/>
      <c r="L22" s="25" t="inlineStr">
        <is>
          <t>Средства управления задачами, проектирования и совместной работы.</t>
        </is>
      </c>
    </row>
    <row r="23" ht="15.75" customHeight="1">
      <c r="B23" s="11" t="inlineStr">
        <is>
          <t/>
        </is>
      </c>
      <c r="C23" s="17" t="inlineStr">
        <is>
          <t>инфляция</t>
        </is>
      </c>
      <c r="D23" s="18"/>
      <c r="E23" s="23">
        <f>IF($D23="","",$D23*INDEX('A-Допущения'!$C$25:$G$30,MATCH($C23,'A-Допущения'!$B$25:$B$30,0),1))</f>
        <v/>
      </c>
      <c r="F23" s="23">
        <f>IF($D23="","",$D23*INDEX('A-Допущения'!$C$25:$G$30,MATCH($C23,'A-Допущения'!$B$25:$B$30,0),2))</f>
        <v/>
      </c>
      <c r="G23" s="23">
        <f>IF($D23="","",$D23*INDEX('A-Допущения'!$C$25:$G$30,MATCH($C23,'A-Допущения'!$B$25:$B$30,0),3))</f>
        <v/>
      </c>
      <c r="H23" s="23">
        <f>IF($D23="","",$D23*INDEX('A-Допущения'!$C$25:$G$30,MATCH($C23,'A-Допущения'!$B$25:$B$30,0),4))</f>
        <v/>
      </c>
      <c r="I23" s="23">
        <f>IF($D23="","",$D23*INDEX('A-Допущения'!$C$25:$G$30,MATCH($C23,'A-Допущения'!$B$25:$B$30,0),5))</f>
        <v/>
      </c>
      <c r="J23" s="23">
        <f>SUM(E23:I23)</f>
        <v>0</v>
      </c>
      <c r="K23" s="24"/>
      <c r="L23" s="25" t="inlineStr">
        <is>
          <t/>
        </is>
      </c>
    </row>
    <row r="24" ht="15.75" customHeight="1">
      <c r="B24" s="26" t="s">
        <v>114</v>
      </c>
      <c r="C24" s="27"/>
      <c r="D24" s="27"/>
      <c r="E24" s="28">
        <f>SUM(E18:E23)</f>
        <v>9600</v>
      </c>
      <c r="F24" s="28">
        <f>SUM(F18:F23)</f>
        <v>12373.2813742386</v>
      </c>
      <c r="G24" s="28">
        <f>SUM(G18:G23)</f>
        <v>16199.04</v>
      </c>
      <c r="H24" s="28">
        <f>SUM(H18:H23)</f>
        <v>20409.4710663875</v>
      </c>
      <c r="I24" s="28">
        <f>SUM(I18:I23)</f>
        <v>23871.4262170103</v>
      </c>
      <c r="J24" s="28">
        <f>SUM(E24:I24)</f>
        <v>82453.2186576364</v>
      </c>
      <c r="K24" s="29">
        <f>IFERROR(J24/$J$51,0)</f>
        <v>0.00193983662490587</v>
      </c>
      <c r="L24" s="27"/>
    </row>
    <row r="25" ht="15.75" customHeight="1">
      <c r="C25" s="30"/>
    </row>
    <row r="26" ht="15.75" customHeight="1">
      <c r="B26" s="7" t="s">
        <v>126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ht="15.75" customHeight="1">
      <c r="B27" s="11" t="inlineStr">
        <is>
          <t>Комиссии платёжных провайдеров</t>
        </is>
      </c>
      <c r="C27" s="17" t="inlineStr">
        <is>
          <t>оборот (GMV)</t>
        </is>
      </c>
      <c r="D27" s="18">
        <v>187500</v>
      </c>
      <c r="E27" s="23">
        <f>IF($D27="","",$D27*INDEX('A-Допущения'!$C$25:$G$30,MATCH($C27,'A-Допущения'!$B$25:$B$30,0),1))</f>
        <v>187500</v>
      </c>
      <c r="F27" s="23">
        <f>IF($D27="","",$D27*INDEX('A-Допущения'!$C$25:$G$30,MATCH($C27,'A-Допущения'!$B$25:$B$30,0),2))</f>
        <v>1170000</v>
      </c>
      <c r="G27" s="23">
        <f>IF($D27="","",$D27*INDEX('A-Допущения'!$C$25:$G$30,MATCH($C27,'A-Допущения'!$B$25:$B$30,0),3))</f>
        <v>4050000</v>
      </c>
      <c r="H27" s="23">
        <f>IF($D27="","",$D27*INDEX('A-Допущения'!$C$25:$G$30,MATCH($C27,'A-Допущения'!$B$25:$B$30,0),4))</f>
        <v>8400000</v>
      </c>
      <c r="I27" s="23">
        <f>IF($D27="","",$D27*INDEX('A-Допущения'!$C$25:$G$30,MATCH($C27,'A-Допущения'!$B$25:$B$30,0),5))</f>
        <v>13050000</v>
      </c>
      <c r="J27" s="23">
        <f>SUM(E27:I27)</f>
        <v>26857500</v>
      </c>
      <c r="K27" s="24"/>
      <c r="L27" s="25" t="inlineStr">
        <is>
          <t>2,5% оборота первого года; письмо финансового директора, п. 6.</t>
        </is>
      </c>
    </row>
    <row r="28" ht="15.75" customHeight="1">
      <c r="B28" s="11" t="inlineStr">
        <is>
          <t>SMS-уведомления</t>
        </is>
      </c>
      <c r="C28" s="17" t="inlineStr">
        <is>
          <t>заказы</t>
        </is>
      </c>
      <c r="D28" s="18">
        <v>12000</v>
      </c>
      <c r="E28" s="23">
        <f>IF($D28="","",$D28*INDEX('A-Допущения'!$C$25:$G$30,MATCH($C28,'A-Допущения'!$B$25:$B$30,0),1))</f>
        <v>12000</v>
      </c>
      <c r="F28" s="23">
        <f>IF($D28="","",$D28*INDEX('A-Допущения'!$C$25:$G$30,MATCH($C28,'A-Допущения'!$B$25:$B$30,0),2))</f>
        <v>72000</v>
      </c>
      <c r="G28" s="23">
        <f>IF($D28="","",$D28*INDEX('A-Допущения'!$C$25:$G$30,MATCH($C28,'A-Допущения'!$B$25:$B$30,0),3))</f>
        <v>240000</v>
      </c>
      <c r="H28" s="23">
        <f>IF($D28="","",$D28*INDEX('A-Допущения'!$C$25:$G$30,MATCH($C28,'A-Допущения'!$B$25:$B$30,0),4))</f>
        <v>480000</v>
      </c>
      <c r="I28" s="23">
        <f>IF($D28="","",$D28*INDEX('A-Допущения'!$C$25:$G$30,MATCH($C28,'A-Допущения'!$B$25:$B$30,0),5))</f>
        <v>720000</v>
      </c>
      <c r="J28" s="23">
        <f>SUM(E28:I28)</f>
        <v>1524000</v>
      </c>
      <c r="K28" s="24"/>
      <c r="L28" s="25" t="inlineStr">
        <is>
          <t>$0,04 на заказ; допущение модели задания 2.</t>
        </is>
      </c>
    </row>
    <row r="29" ht="15.75" customHeight="1">
      <c r="B29" s="11" t="inlineStr">
        <is>
          <t>Сообщения WhatsApp</t>
        </is>
      </c>
      <c r="C29" s="17" t="inlineStr">
        <is>
          <t>заказы</t>
        </is>
      </c>
      <c r="D29" s="18">
        <v>9000</v>
      </c>
      <c r="E29" s="23">
        <f>IF($D29="","",$D29*INDEX('A-Допущения'!$C$25:$G$30,MATCH($C29,'A-Допущения'!$B$25:$B$30,0),1))</f>
        <v>9000</v>
      </c>
      <c r="F29" s="23">
        <f>IF($D29="","",$D29*INDEX('A-Допущения'!$C$25:$G$30,MATCH($C29,'A-Допущения'!$B$25:$B$30,0),2))</f>
        <v>54000</v>
      </c>
      <c r="G29" s="23">
        <f>IF($D29="","",$D29*INDEX('A-Допущения'!$C$25:$G$30,MATCH($C29,'A-Допущения'!$B$25:$B$30,0),3))</f>
        <v>180000</v>
      </c>
      <c r="H29" s="23">
        <f>IF($D29="","",$D29*INDEX('A-Допущения'!$C$25:$G$30,MATCH($C29,'A-Допущения'!$B$25:$B$30,0),4))</f>
        <v>360000</v>
      </c>
      <c r="I29" s="23">
        <f>IF($D29="","",$D29*INDEX('A-Допущения'!$C$25:$G$30,MATCH($C29,'A-Допущения'!$B$25:$B$30,0),5))</f>
        <v>540000</v>
      </c>
      <c r="J29" s="23">
        <f>SUM(E29:I29)</f>
        <v>1143000</v>
      </c>
      <c r="K29" s="24"/>
      <c r="L29" s="25" t="inlineStr">
        <is>
          <t>$0,03 на заказ; допущение модели задания 2.</t>
        </is>
      </c>
    </row>
    <row r="30" ht="15.75" customHeight="1">
      <c r="B30" s="11" t="inlineStr">
        <is>
          <t>Комиссии за интеграцию с логистическими партнёрами</t>
        </is>
      </c>
      <c r="C30" s="17" t="inlineStr">
        <is>
          <t>заказы</t>
        </is>
      </c>
      <c r="D30" s="18">
        <v>30000</v>
      </c>
      <c r="E30" s="23">
        <f>IF($D30="","",$D30*INDEX('A-Допущения'!$C$25:$G$30,MATCH($C30,'A-Допущения'!$B$25:$B$30,0),1))</f>
        <v>30000</v>
      </c>
      <c r="F30" s="23">
        <f>IF($D30="","",$D30*INDEX('A-Допущения'!$C$25:$G$30,MATCH($C30,'A-Допущения'!$B$25:$B$30,0),2))</f>
        <v>180000</v>
      </c>
      <c r="G30" s="23">
        <f>IF($D30="","",$D30*INDEX('A-Допущения'!$C$25:$G$30,MATCH($C30,'A-Допущения'!$B$25:$B$30,0),3))</f>
        <v>600000</v>
      </c>
      <c r="H30" s="23">
        <f>IF($D30="","",$D30*INDEX('A-Допущения'!$C$25:$G$30,MATCH($C30,'A-Допущения'!$B$25:$B$30,0),4))</f>
        <v>1200000</v>
      </c>
      <c r="I30" s="23">
        <f>IF($D30="","",$D30*INDEX('A-Допущения'!$C$25:$G$30,MATCH($C30,'A-Допущения'!$B$25:$B$30,0),5))</f>
        <v>1800000</v>
      </c>
      <c r="J30" s="23">
        <f>SUM(E30:I30)</f>
        <v>3810000</v>
      </c>
      <c r="K30" s="24"/>
      <c r="L30" s="25" t="inlineStr">
        <is>
          <t>$0,10 на заказ; стоимость курьерской доставки не включена.</t>
        </is>
      </c>
    </row>
    <row r="31" ht="15.75" customHeight="1">
      <c r="B31" s="11" t="inlineStr">
        <is>
          <t/>
        </is>
      </c>
      <c r="C31" s="17" t="inlineStr">
        <is>
          <t>инфляция</t>
        </is>
      </c>
      <c r="D31" s="18"/>
      <c r="E31" s="23">
        <f>IF($D31="","",$D31*INDEX('A-Допущения'!$C$25:$G$30,MATCH($C31,'A-Допущения'!$B$25:$B$30,0),1))</f>
        <v/>
      </c>
      <c r="F31" s="23">
        <f>IF($D31="","",$D31*INDEX('A-Допущения'!$C$25:$G$30,MATCH($C31,'A-Допущения'!$B$25:$B$30,0),2))</f>
        <v/>
      </c>
      <c r="G31" s="23">
        <f>IF($D31="","",$D31*INDEX('A-Допущения'!$C$25:$G$30,MATCH($C31,'A-Допущения'!$B$25:$B$30,0),3))</f>
        <v/>
      </c>
      <c r="H31" s="23">
        <f>IF($D31="","",$D31*INDEX('A-Допущения'!$C$25:$G$30,MATCH($C31,'A-Допущения'!$B$25:$B$30,0),4))</f>
        <v/>
      </c>
      <c r="I31" s="23">
        <f>IF($D31="","",$D31*INDEX('A-Допущения'!$C$25:$G$30,MATCH($C31,'A-Допущения'!$B$25:$B$30,0),5))</f>
        <v/>
      </c>
      <c r="J31" s="23">
        <f>SUM(E31:I31)</f>
        <v>0</v>
      </c>
      <c r="K31" s="24"/>
      <c r="L31" s="25" t="inlineStr">
        <is>
          <t/>
        </is>
      </c>
    </row>
    <row r="32" ht="15.75" customHeight="1">
      <c r="B32" s="26" t="s">
        <v>114</v>
      </c>
      <c r="C32" s="27"/>
      <c r="D32" s="27"/>
      <c r="E32" s="28">
        <f>SUM(E27:E31)</f>
        <v>238500</v>
      </c>
      <c r="F32" s="28">
        <f>SUM(F27:F31)</f>
        <v>1476000</v>
      </c>
      <c r="G32" s="28">
        <f>SUM(G27:G31)</f>
        <v>5070000</v>
      </c>
      <c r="H32" s="28">
        <f>SUM(H27:H31)</f>
        <v>10440000</v>
      </c>
      <c r="I32" s="28">
        <f>SUM(I27:I31)</f>
        <v>16110000</v>
      </c>
      <c r="J32" s="28">
        <f>SUM(E32:I32)</f>
        <v>33334500</v>
      </c>
      <c r="K32" s="29">
        <f>IFERROR(J32/$J$51,0)</f>
        <v>0.784244508894452</v>
      </c>
      <c r="L32" s="27"/>
    </row>
    <row r="33" ht="15.75" customHeight="1">
      <c r="C33" s="30"/>
    </row>
    <row r="34" ht="15.75" customHeight="1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B35" s="11" t="inlineStr">
        <is>
          <t>Разработка (4 специалиста)</t>
        </is>
      </c>
      <c r="C35" s="17" t="inlineStr">
        <is>
          <t>ФОТ</t>
        </is>
      </c>
      <c r="D35" s="18">
        <v>240000</v>
      </c>
      <c r="E35" s="23">
        <f>IF($D35="","",$D35*INDEX('A-Допущения'!$C$25:$G$30,MATCH($C35,'A-Допущения'!$B$25:$B$30,0),1))</f>
        <v>240000</v>
      </c>
      <c r="F35" s="23">
        <f>IF($D35="","",$D35*INDEX('A-Допущения'!$C$25:$G$30,MATCH($C35,'A-Допущения'!$B$25:$B$30,0),2))</f>
        <v>268800</v>
      </c>
      <c r="G35" s="23">
        <f>IF($D35="","",$D35*INDEX('A-Допущения'!$C$25:$G$30,MATCH($C35,'A-Допущения'!$B$25:$B$30,0),3))</f>
        <v>301056</v>
      </c>
      <c r="H35" s="23">
        <f>IF($D35="","",$D35*INDEX('A-Допущения'!$C$25:$G$30,MATCH($C35,'A-Допущения'!$B$25:$B$30,0),4))</f>
        <v>337182.72</v>
      </c>
      <c r="I35" s="23">
        <f>IF($D35="","",$D35*INDEX('A-Допущения'!$C$25:$G$30,MATCH($C35,'A-Допущения'!$B$25:$B$30,0),5))</f>
        <v>377644.6464</v>
      </c>
      <c r="J35" s="23">
        <f>SUM(E35:I35)</f>
        <v>1524683.3664</v>
      </c>
      <c r="K35" s="24"/>
      <c r="L35" s="25" t="inlineStr">
        <is>
          <t>4 × $60 тыс. полной годовой стоимости специалиста.</t>
        </is>
      </c>
    </row>
    <row r="36" ht="15.75" customHeight="1">
      <c r="B36" s="11" t="inlineStr">
        <is>
          <t>Эксплуатация и надёжность (1 специалист)</t>
        </is>
      </c>
      <c r="C36" s="17" t="inlineStr">
        <is>
          <t>ФОТ</t>
        </is>
      </c>
      <c r="D36" s="18">
        <v>60000</v>
      </c>
      <c r="E36" s="23">
        <f>IF($D36="","",$D36*INDEX('A-Допущения'!$C$25:$G$30,MATCH($C36,'A-Допущения'!$B$25:$B$30,0),1))</f>
        <v>60000</v>
      </c>
      <c r="F36" s="23">
        <f>IF($D36="","",$D36*INDEX('A-Допущения'!$C$25:$G$30,MATCH($C36,'A-Допущения'!$B$25:$B$30,0),2))</f>
        <v>67200</v>
      </c>
      <c r="G36" s="23">
        <f>IF($D36="","",$D36*INDEX('A-Допущения'!$C$25:$G$30,MATCH($C36,'A-Допущения'!$B$25:$B$30,0),3))</f>
        <v>75264</v>
      </c>
      <c r="H36" s="23">
        <f>IF($D36="","",$D36*INDEX('A-Допущения'!$C$25:$G$30,MATCH($C36,'A-Допущения'!$B$25:$B$30,0),4))</f>
        <v>84295.68</v>
      </c>
      <c r="I36" s="23">
        <f>IF($D36="","",$D36*INDEX('A-Допущения'!$C$25:$G$30,MATCH($C36,'A-Допущения'!$B$25:$B$30,0),5))</f>
        <v>94411.1616</v>
      </c>
      <c r="J36" s="23">
        <f>SUM(E36:I36)</f>
        <v>381170.8416</v>
      </c>
      <c r="K36" s="24"/>
      <c r="L36" s="25" t="inlineStr">
        <is>
          <t>1 × $60 тыс. полной годовой стоимости специалиста.</t>
        </is>
      </c>
    </row>
    <row r="37" ht="15.75" customHeight="1">
      <c r="B37" s="11" t="inlineStr">
        <is>
          <t>Тестирование, поддержка и дежурство (1 специалист)</t>
        </is>
      </c>
      <c r="C37" s="17" t="inlineStr">
        <is>
          <t>ФОТ</t>
        </is>
      </c>
      <c r="D37" s="18">
        <v>60000</v>
      </c>
      <c r="E37" s="23">
        <f>IF($D37="","",$D37*INDEX('A-Допущения'!$C$25:$G$30,MATCH($C37,'A-Допущения'!$B$25:$B$30,0),1))</f>
        <v>60000</v>
      </c>
      <c r="F37" s="23">
        <f>IF($D37="","",$D37*INDEX('A-Допущения'!$C$25:$G$30,MATCH($C37,'A-Допущения'!$B$25:$B$30,0),2))</f>
        <v>67200</v>
      </c>
      <c r="G37" s="23">
        <f>IF($D37="","",$D37*INDEX('A-Допущения'!$C$25:$G$30,MATCH($C37,'A-Допущения'!$B$25:$B$30,0),3))</f>
        <v>75264</v>
      </c>
      <c r="H37" s="23">
        <f>IF($D37="","",$D37*INDEX('A-Допущения'!$C$25:$G$30,MATCH($C37,'A-Допущения'!$B$25:$B$30,0),4))</f>
        <v>84295.68</v>
      </c>
      <c r="I37" s="23">
        <f>IF($D37="","",$D37*INDEX('A-Допущения'!$C$25:$G$30,MATCH($C37,'A-Допущения'!$B$25:$B$30,0),5))</f>
        <v>94411.1616</v>
      </c>
      <c r="J37" s="23">
        <f>SUM(E37:I37)</f>
        <v>381170.8416</v>
      </c>
      <c r="K37" s="24"/>
      <c r="L37" s="25" t="inlineStr">
        <is>
          <t>1 × $60 тыс. полной годовой стоимости специалиста.</t>
        </is>
      </c>
    </row>
    <row r="38" ht="15.75" customHeight="1">
      <c r="B38" s="11" t="inlineStr">
        <is>
          <t>Архитектура и управление</t>
        </is>
      </c>
      <c r="C38" s="17" t="inlineStr">
        <is>
          <t>ФОТ</t>
        </is>
      </c>
      <c r="D38" s="18">
        <v>90000</v>
      </c>
      <c r="E38" s="23">
        <f>IF($D38="","",$D38*INDEX('A-Допущения'!$C$25:$G$30,MATCH($C38,'A-Допущения'!$B$25:$B$30,0),1))</f>
        <v>90000</v>
      </c>
      <c r="F38" s="23">
        <f>IF($D38="","",$D38*INDEX('A-Допущения'!$C$25:$G$30,MATCH($C38,'A-Допущения'!$B$25:$B$30,0),2))</f>
        <v>100800</v>
      </c>
      <c r="G38" s="23">
        <f>IF($D38="","",$D38*INDEX('A-Допущения'!$C$25:$G$30,MATCH($C38,'A-Допущения'!$B$25:$B$30,0),3))</f>
        <v>112896</v>
      </c>
      <c r="H38" s="23">
        <f>IF($D38="","",$D38*INDEX('A-Допущения'!$C$25:$G$30,MATCH($C38,'A-Допущения'!$B$25:$B$30,0),4))</f>
        <v>126443.52</v>
      </c>
      <c r="I38" s="23">
        <f>IF($D38="","",$D38*INDEX('A-Допущения'!$C$25:$G$30,MATCH($C38,'A-Допущения'!$B$25:$B$30,0),5))</f>
        <v>141616.7424</v>
      </c>
      <c r="J38" s="23">
        <f>SUM(E38:I38)</f>
        <v>571756.2624</v>
      </c>
      <c r="K38" s="24"/>
      <c r="L38" s="25" t="inlineStr">
        <is>
          <t>Доля затрат на технического директора, архитектора и управление продуктом.</t>
        </is>
      </c>
    </row>
    <row r="39" ht="15.75" customHeight="1">
      <c r="B39" s="11" t="inlineStr">
        <is>
          <t/>
        </is>
      </c>
      <c r="C39" s="17" t="inlineStr">
        <is>
          <t>инфляция</t>
        </is>
      </c>
      <c r="D39" s="18"/>
      <c r="E39" s="23">
        <f>IF($D39="","",$D39*INDEX('A-Допущения'!$C$25:$G$30,MATCH($C39,'A-Допущения'!$B$25:$B$30,0),1))</f>
        <v/>
      </c>
      <c r="F39" s="23">
        <f>IF($D39="","",$D39*INDEX('A-Допущения'!$C$25:$G$30,MATCH($C39,'A-Допущения'!$B$25:$B$30,0),2))</f>
        <v/>
      </c>
      <c r="G39" s="23">
        <f>IF($D39="","",$D39*INDEX('A-Допущения'!$C$25:$G$30,MATCH($C39,'A-Допущения'!$B$25:$B$30,0),3))</f>
        <v/>
      </c>
      <c r="H39" s="23">
        <f>IF($D39="","",$D39*INDEX('A-Допущения'!$C$25:$G$30,MATCH($C39,'A-Допущения'!$B$25:$B$30,0),4))</f>
        <v/>
      </c>
      <c r="I39" s="23">
        <f>IF($D39="","",$D39*INDEX('A-Допущения'!$C$25:$G$30,MATCH($C39,'A-Допущения'!$B$25:$B$30,0),5))</f>
        <v/>
      </c>
      <c r="J39" s="23">
        <f>SUM(E39:I39)</f>
        <v>0</v>
      </c>
      <c r="K39" s="24"/>
      <c r="L39" s="25" t="inlineStr">
        <is>
          <t/>
        </is>
      </c>
    </row>
    <row r="40" ht="15.75" customHeight="1">
      <c r="B40" s="26" t="s">
        <v>114</v>
      </c>
      <c r="C40" s="27"/>
      <c r="D40" s="27"/>
      <c r="E40" s="28">
        <f>SUM(E35:E39)</f>
        <v>450000</v>
      </c>
      <c r="F40" s="28">
        <f>SUM(F35:F39)</f>
        <v>504000</v>
      </c>
      <c r="G40" s="28">
        <f>SUM(G35:G39)</f>
        <v>564480</v>
      </c>
      <c r="H40" s="28">
        <f>SUM(H35:H39)</f>
        <v>632217.6</v>
      </c>
      <c r="I40" s="28">
        <f>SUM(I35:I39)</f>
        <v>708083.712</v>
      </c>
      <c r="J40" s="28">
        <f>SUM(E40:I40)</f>
        <v>2858781.312</v>
      </c>
      <c r="K40" s="29">
        <f>IFERROR(J40/$J$51,0)</f>
        <v>0.0672571523816489</v>
      </c>
      <c r="L40" s="27"/>
    </row>
    <row r="41" ht="15.75" customHeight="1">
      <c r="C41" s="30"/>
    </row>
    <row r="42" ht="15.75" customHeight="1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ht="15.75" customHeight="1">
      <c r="B43" s="11" t="inlineStr">
        <is>
          <t>Юридический аудит и проверка соответствия требованиям</t>
        </is>
      </c>
      <c r="C43" s="17" t="inlineStr">
        <is>
          <t>инфляция</t>
        </is>
      </c>
      <c r="D43" s="18">
        <v>25000</v>
      </c>
      <c r="E43" s="23">
        <f>IF($D43="","",$D43*INDEX('A-Допущения'!$C$25:$G$30,MATCH($C43,'A-Допущения'!$B$25:$B$30,0),1))</f>
        <v>25000</v>
      </c>
      <c r="F43" s="18">
        <v>0</v>
      </c>
      <c r="G43" s="18">
        <v>0</v>
      </c>
      <c r="H43" s="18">
        <v>0</v>
      </c>
      <c r="I43" s="18">
        <v>0</v>
      </c>
      <c r="J43" s="23">
        <f>SUM(E43:I43)</f>
        <v>25000</v>
      </c>
      <c r="K43" s="24"/>
      <c r="L43" s="25" t="inlineStr">
        <is>
          <t>Только первый год; проверка NDPA, POPIA и Закона Кении о защите данных.</t>
        </is>
      </c>
    </row>
    <row r="44" ht="15.75" customHeight="1">
      <c r="B44" s="11" t="inlineStr">
        <is>
          <t>Проверка защищённости и испытание на проникновение</t>
        </is>
      </c>
      <c r="C44" s="17" t="inlineStr">
        <is>
          <t>инфляция</t>
        </is>
      </c>
      <c r="D44" s="18">
        <v>15000</v>
      </c>
      <c r="E44" s="23">
        <f>IF($D44="","",$D44*INDEX('A-Допущения'!$C$25:$G$30,MATCH($C44,'A-Допущения'!$B$25:$B$30,0),1))</f>
        <v>15000</v>
      </c>
      <c r="F44" s="23">
        <f>IF($D44="","",$D44*INDEX('A-Допущения'!$C$25:$G$30,MATCH($C44,'A-Допущения'!$B$25:$B$30,0),2))</f>
        <v>16200</v>
      </c>
      <c r="G44" s="23">
        <f>IF($D44="","",$D44*INDEX('A-Допущения'!$C$25:$G$30,MATCH($C44,'A-Допущения'!$B$25:$B$30,0),3))</f>
        <v>17496</v>
      </c>
      <c r="H44" s="23">
        <f>IF($D44="","",$D44*INDEX('A-Допущения'!$C$25:$G$30,MATCH($C44,'A-Допущения'!$B$25:$B$30,0),4))</f>
        <v>18895.68</v>
      </c>
      <c r="I44" s="23">
        <f>IF($D44="","",$D44*INDEX('A-Допущения'!$C$25:$G$30,MATCH($C44,'A-Допущения'!$B$25:$B$30,0),5))</f>
        <v>20407.3344</v>
      </c>
      <c r="J44" s="23">
        <f>SUM(E44:I44)</f>
        <v>87999.0144</v>
      </c>
      <c r="K44" s="24"/>
      <c r="L44" s="25" t="inlineStr">
        <is>
          <t>Ежегодная проверка; стоимость растёт с инфляцией.</t>
        </is>
      </c>
    </row>
    <row r="45" ht="15.75" customHeight="1">
      <c r="B45" s="11" t="inlineStr">
        <is>
          <t>Перенос данных и интеграции при запуске</t>
        </is>
      </c>
      <c r="C45" s="17" t="inlineStr">
        <is>
          <t>инфляция</t>
        </is>
      </c>
      <c r="D45" s="18">
        <v>20000</v>
      </c>
      <c r="E45" s="23">
        <f>IF($D45="","",$D45*INDEX('A-Допущения'!$C$25:$G$30,MATCH($C45,'A-Допущения'!$B$25:$B$30,0),1))</f>
        <v>20000</v>
      </c>
      <c r="F45" s="18">
        <v>0</v>
      </c>
      <c r="G45" s="18">
        <v>0</v>
      </c>
      <c r="H45" s="18">
        <v>0</v>
      </c>
      <c r="I45" s="18">
        <v>0</v>
      </c>
      <c r="J45" s="23">
        <f>SUM(E45:I45)</f>
        <v>20000</v>
      </c>
      <c r="K45" s="24"/>
      <c r="L45" s="25" t="inlineStr">
        <is>
          <t>Только первый год.</t>
        </is>
      </c>
    </row>
    <row r="46" ht="15.75" customHeight="1">
      <c r="B46" s="11" t="inlineStr">
        <is>
          <t>Обучение команды</t>
        </is>
      </c>
      <c r="C46" s="17" t="inlineStr">
        <is>
          <t>ФОТ</t>
        </is>
      </c>
      <c r="D46" s="18">
        <v>10000</v>
      </c>
      <c r="E46" s="23">
        <f>IF($D46="","",$D46*INDEX('A-Допущения'!$C$25:$G$30,MATCH($C46,'A-Допущения'!$B$25:$B$30,0),1))</f>
        <v>10000</v>
      </c>
      <c r="F46" s="18">
        <v>0</v>
      </c>
      <c r="G46" s="18">
        <v>0</v>
      </c>
      <c r="H46" s="18">
        <v>0</v>
      </c>
      <c r="I46" s="18">
        <v>0</v>
      </c>
      <c r="J46" s="23">
        <f>SUM(E46:I46)</f>
        <v>10000</v>
      </c>
      <c r="K46" s="24"/>
      <c r="L46" s="25" t="inlineStr">
        <is>
          <t>Только первый год.</t>
        </is>
      </c>
    </row>
    <row r="47" ht="15.75" customHeight="1">
      <c r="B47" s="11" t="inlineStr">
        <is>
          <t/>
        </is>
      </c>
      <c r="C47" s="17" t="inlineStr">
        <is>
          <t>инфляция</t>
        </is>
      </c>
      <c r="D47" s="18"/>
      <c r="E47" s="23">
        <f>IF($D47="","",$D47*INDEX('A-Допущения'!$C$25:$G$30,MATCH($C47,'A-Допущения'!$B$25:$B$30,0),1))</f>
        <v/>
      </c>
      <c r="F47" s="23">
        <f>IF($D47="","",$D47*INDEX('A-Допущения'!$C$25:$G$30,MATCH($C47,'A-Допущения'!$B$25:$B$30,0),2))</f>
        <v/>
      </c>
      <c r="G47" s="23">
        <f>IF($D47="","",$D47*INDEX('A-Допущения'!$C$25:$G$30,MATCH($C47,'A-Допущения'!$B$25:$B$30,0),3))</f>
        <v/>
      </c>
      <c r="H47" s="23">
        <f>IF($D47="","",$D47*INDEX('A-Допущения'!$C$25:$G$30,MATCH($C47,'A-Допущения'!$B$25:$B$30,0),4))</f>
        <v/>
      </c>
      <c r="I47" s="23">
        <f>IF($D47="","",$D47*INDEX('A-Допущения'!$C$25:$G$30,MATCH($C47,'A-Допущения'!$B$25:$B$30,0),5))</f>
        <v/>
      </c>
      <c r="J47" s="23">
        <f>SUM(E47:I47)</f>
        <v>0</v>
      </c>
      <c r="K47" s="24"/>
      <c r="L47" s="25" t="inlineStr">
        <is>
          <t/>
        </is>
      </c>
    </row>
    <row r="48" ht="15.75" customHeight="1">
      <c r="B48" s="26" t="s">
        <v>114</v>
      </c>
      <c r="C48" s="27"/>
      <c r="D48" s="27"/>
      <c r="E48" s="28">
        <f>SUM(E43:E47)</f>
        <v>70000</v>
      </c>
      <c r="F48" s="28">
        <f>SUM(F43:F47)</f>
        <v>16200</v>
      </c>
      <c r="G48" s="28">
        <f>SUM(G43:G47)</f>
        <v>17496</v>
      </c>
      <c r="H48" s="28">
        <f>SUM(H43:H47)</f>
        <v>18895.68</v>
      </c>
      <c r="I48" s="28">
        <f>SUM(I43:I47)</f>
        <v>20407.3344</v>
      </c>
      <c r="J48" s="28">
        <f>SUM(E48:I48)</f>
        <v>142999.0144</v>
      </c>
      <c r="K48" s="29">
        <f>IFERROR(J48/$J$51,0)</f>
        <v>0.00336426800523538</v>
      </c>
      <c r="L48" s="27"/>
    </row>
    <row r="49" ht="15.75" customHeight="1">
      <c r="C49" s="30"/>
    </row>
    <row r="50" ht="15.75" customHeight="1">
      <c r="B50" s="15" t="s">
        <v>153</v>
      </c>
      <c r="C50" s="30"/>
      <c r="E50" s="31">
        <f>(E15+E24+E32+E40+E48)*'A-Допущения'!$C$17</f>
        <v>122505</v>
      </c>
      <c r="F50" s="31">
        <f>(F15+F24+F32+F40+F48)*'A-Допущения'!$C$17</f>
        <v>312262.519041475</v>
      </c>
      <c r="G50" s="31">
        <f>(G15+G24+G32+G40+G48)*'A-Допущения'!$C$17</f>
        <v>866350.802831399</v>
      </c>
      <c r="H50" s="31">
        <f>(H15+H24+H32+H40+H48)*'A-Допущения'!$C$17</f>
        <v>1688117.8949777</v>
      </c>
      <c r="I50" s="31">
        <f>(I15+I24+I32+I40+I48)*'A-Допущения'!$C$17</f>
        <v>2554925.34444478</v>
      </c>
      <c r="J50" s="23">
        <f>SUM(E50:I50)</f>
        <v>5544161.56129535</v>
      </c>
      <c r="L50" s="6" t="s">
        <v>154</v>
      </c>
    </row>
    <row r="51" ht="15.75" customHeight="1">
      <c r="B51" s="26" t="s">
        <v>155</v>
      </c>
      <c r="C51" s="30"/>
      <c r="E51" s="28">
        <f>E15+E24+E32+E40+E48+E50</f>
        <v>939205</v>
      </c>
      <c r="F51" s="28">
        <f>F15+F24+F32+F40+F48+F50</f>
        <v>2394012.64598464</v>
      </c>
      <c r="G51" s="28">
        <f>G15+G24+G32+G40+G48+G50</f>
        <v>6642022.8217074</v>
      </c>
      <c r="H51" s="28">
        <f>H15+H24+H32+H40+H48+H50</f>
        <v>12942237.194829</v>
      </c>
      <c r="I51" s="28">
        <f>I15+I24+I32+I40+I48+I50</f>
        <v>19587760.9740766</v>
      </c>
      <c r="J51" s="28">
        <f>SUM(E51:I51)</f>
        <v>42505238.6365977</v>
      </c>
    </row>
    <row r="52" ht="15.75" customHeight="1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ht="15.75" customHeight="1">
      <c r="B53" s="11" t="s">
        <v>157</v>
      </c>
      <c r="E53" s="31">
        <f>(1-'A-Допущения'!$C$20)*525600*'A-Допущения'!$C$19*'A-Допущения'!$C$21</f>
        <v>3153599.99999965</v>
      </c>
      <c r="F53" s="31">
        <f>(1-'A-Допущения'!$C$20)*525600*'A-Допущения'!$C$19*'A-Допущения'!$C$21</f>
        <v>3153599.99999965</v>
      </c>
      <c r="G53" s="31">
        <f>(1-'A-Допущения'!$C$20)*525600*'A-Допущения'!$C$19*'A-Допущения'!$C$21</f>
        <v>3153599.99999965</v>
      </c>
      <c r="H53" s="31">
        <f>(1-'A-Допущения'!$C$20)*525600*'A-Допущения'!$C$19*'A-Допущения'!$C$21</f>
        <v>3153599.99999965</v>
      </c>
      <c r="I53" s="31">
        <f>(1-'A-Допущения'!$C$20)*525600*'A-Допущения'!$C$19*'A-Допущения'!$C$21</f>
        <v>3153599.99999965</v>
      </c>
      <c r="J53" s="23">
        <f>SUM(E53:I53)</f>
        <v>15767999.9999983</v>
      </c>
      <c r="L53" s="13" t="s">
        <v>158</v>
      </c>
    </row>
    <row r="54" ht="15.75" customHeight="1">
      <c r="B54" s="26" t="s">
        <v>159</v>
      </c>
      <c r="E54" s="28">
        <f>E51+E53</f>
        <v>4092804.99999965</v>
      </c>
      <c r="F54" s="28">
        <f>F51+F53</f>
        <v>5547612.64598429</v>
      </c>
      <c r="G54" s="28">
        <f>G51+G53</f>
        <v>9795622.82170705</v>
      </c>
      <c r="H54" s="28">
        <f>H51+H53</f>
        <v>16095837.1948287</v>
      </c>
      <c r="I54" s="28">
        <f>I51+I53</f>
        <v>22741360.9740763</v>
      </c>
      <c r="J54" s="28">
        <f>SUM(E54:I54)</f>
        <v>58273238.6365959</v>
      </c>
    </row>
    <row r="55" ht="15.75" customHeight="1">
      <c r="B55" s="11" t="s">
        <v>160</v>
      </c>
      <c r="E55" s="32">
        <f>1/(1+'A-Допущения'!$C$16)^0</f>
        <v>1</v>
      </c>
      <c r="F55" s="32">
        <f>1/(1+'A-Допущения'!$C$16)^1</f>
        <v>0.833333333333333</v>
      </c>
      <c r="G55" s="32">
        <f>1/(1+'A-Допущения'!$C$16)^2</f>
        <v>0.694444444444444</v>
      </c>
      <c r="H55" s="32">
        <f>1/(1+'A-Допущения'!$C$16)^3</f>
        <v>0.578703703703704</v>
      </c>
      <c r="I55" s="32">
        <f>1/(1+'A-Допущения'!$C$16)^4</f>
        <v>0.482253086419753</v>
      </c>
    </row>
    <row r="56" ht="15.75" customHeight="1">
      <c r="B56" s="26" t="s">
        <v>161</v>
      </c>
      <c r="E56" s="28">
        <f>E54*E55</f>
        <v>4092804.99999965</v>
      </c>
      <c r="F56" s="28">
        <f>F54*F55</f>
        <v>4623010.53832025</v>
      </c>
      <c r="G56" s="28">
        <f>G54*G55</f>
        <v>6802515.84840767</v>
      </c>
      <c r="H56" s="28">
        <f>H54*H55</f>
        <v>9314720.59885918</v>
      </c>
      <c r="I56" s="28">
        <f>I54*I55</f>
        <v>10967091.519134</v>
      </c>
      <c r="J56" s="28">
        <f>SUM(E56:I56)</f>
        <v>35800143.5047208</v>
      </c>
    </row>
    <row r="57" ht="15.75" customHeight="1"/>
    <row r="58" ht="15.75" customHeight="1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ht="15.75" customHeight="1">
      <c r="B59" s="15" t="s">
        <v>163</v>
      </c>
      <c r="E59" s="33">
        <f>J51</f>
        <v>42505238.6365977</v>
      </c>
      <c r="F59" s="34"/>
      <c r="L59" s="13" t="s">
        <v>164</v>
      </c>
    </row>
    <row r="60" ht="15.75" customHeight="1">
      <c r="B60" s="15" t="s">
        <v>165</v>
      </c>
      <c r="E60" s="33">
        <f>J54</f>
        <v>58273238.6365959</v>
      </c>
      <c r="F60" s="34"/>
      <c r="L60" s="13" t="s">
        <v>166</v>
      </c>
    </row>
    <row r="61" ht="15.75" customHeight="1">
      <c r="B61" s="15" t="s">
        <v>167</v>
      </c>
      <c r="E61" s="33">
        <f>J56</f>
        <v>35800143.5047208</v>
      </c>
      <c r="F61" s="34"/>
      <c r="L61" s="13" t="s">
        <v>168</v>
      </c>
    </row>
    <row r="62" ht="15.75" customHeight="1">
      <c r="B62" s="15" t="s">
        <v>169</v>
      </c>
      <c r="E62" s="33">
        <f>J51/5</f>
        <v>8501047.72731953</v>
      </c>
      <c r="F62" s="34"/>
      <c r="L62" s="13" t="s">
        <v>170</v>
      </c>
    </row>
    <row r="63" ht="15.75" customHeight="1">
      <c r="B63" s="15" t="s">
        <v>171</v>
      </c>
      <c r="E63" s="33">
        <f>E15/12</f>
        <v>4050</v>
      </c>
      <c r="F63" s="34"/>
      <c r="L63" s="13" t="s">
        <v>172</v>
      </c>
    </row>
    <row r="64" ht="15.75" customHeight="1">
      <c r="B64" s="15" t="s">
        <v>173</v>
      </c>
      <c r="E64" s="35" t="str">
        <f>IF(E15/12&lt;='A-Допущения'!$C$18,"В бюджете CFO","ПРЕВЫШЕНИЕ бюджета")</f>
        <v>В бюджете CFO</v>
      </c>
      <c r="F64" s="34"/>
      <c r="L64" s="13" t="s">
        <v>174</v>
      </c>
    </row>
    <row r="65" ht="15.75" customHeight="1">
      <c r="B65" s="15" t="s">
        <v>175</v>
      </c>
      <c r="E65" s="36">
        <f>IFERROR(J51/SUM('A-Допущения'!$C$8:$G$8),0)</f>
        <v>1.11562306132802</v>
      </c>
      <c r="F65" s="34"/>
      <c r="L65" s="13" t="s">
        <v>176</v>
      </c>
    </row>
    <row r="66" ht="15.75" customHeight="1">
      <c r="B66" s="15" t="s">
        <v>177</v>
      </c>
      <c r="E66" s="36">
        <f>IFERROR(I51/'A-Допущения'!$G$7,0)</f>
        <v>1.95877609740766</v>
      </c>
      <c r="F66" s="34"/>
      <c r="L66" s="13" t="s">
        <v>178</v>
      </c>
    </row>
    <row r="67" ht="15.75" customHeight="1">
      <c r="B67" s="15" t="s">
        <v>179</v>
      </c>
      <c r="E67" s="37">
        <f>IFERROR(J51/SUM('A-Допущения'!$C$10:$G$10),0)</f>
        <v>0.0395655204659757</v>
      </c>
      <c r="F67" s="34"/>
      <c r="L67" s="13" t="s">
        <v>180</v>
      </c>
    </row>
    <row r="68" ht="15.75" customHeight="1">
      <c r="B68" s="15" t="s">
        <v>181</v>
      </c>
      <c r="E68" s="38">
        <f>IFERROR(J15/J51,0)</f>
        <v>0.0127594514850628</v>
      </c>
      <c r="F68" s="34"/>
      <c r="L68" s="13" t="s">
        <v>182</v>
      </c>
    </row>
    <row r="69" ht="15.75" customHeight="1">
      <c r="B69" s="15" t="s">
        <v>183</v>
      </c>
      <c r="E69" s="38">
        <f>IFERROR(J32/J51,0)</f>
        <v>0.784244508894452</v>
      </c>
      <c r="F69" s="34"/>
      <c r="L69" s="13" t="s">
        <v>184</v>
      </c>
    </row>
    <row r="70" ht="15.75" customHeight="1">
      <c r="B70" s="15" t="s">
        <v>185</v>
      </c>
      <c r="E70" s="38">
        <f>IFERROR(J40/J51,0)</f>
        <v>0.0672571523816489</v>
      </c>
      <c r="F70" s="34"/>
      <c r="L70" s="13" t="s">
        <v>186</v>
      </c>
    </row>
    <row r="71" ht="15.75" customHeight="1"/>
    <row r="72" ht="15.75" customHeight="1">
      <c r="B72" s="39" t="s">
        <v>187</v>
      </c>
    </row>
    <row r="73" ht="15.0" customHeight="1">
      <c r="B73" s="40" t="inlineStr">
        <is>
          <t>Выбран модульный монолит: прямые совокупные затраты за пять лет — $42,51 млн, регулярные технологические расходы — около $4 850 в месяц. Это единственный вариант в пределах лимита $5 000; наибольшую чувствительность создают комиссии платёжных провайдеров, объём заказов и ФОТ.</t>
        </is>
      </c>
      <c r="C73" s="41"/>
      <c r="D73" s="41"/>
      <c r="E73" s="41"/>
      <c r="F73" s="41"/>
      <c r="G73" s="41"/>
      <c r="H73" s="41"/>
      <c r="I73" s="41"/>
      <c r="J73" s="41"/>
      <c r="K73" s="41"/>
      <c r="L73" s="42"/>
    </row>
    <row r="74" ht="15.75" customHeight="1">
      <c r="B74" s="43"/>
      <c r="L74" s="44"/>
    </row>
    <row r="75" ht="15.75" customHeight="1">
      <c r="B75" s="45"/>
      <c r="C75" s="46"/>
      <c r="D75" s="46"/>
      <c r="E75" s="46"/>
      <c r="F75" s="46"/>
      <c r="G75" s="46"/>
      <c r="H75" s="46"/>
      <c r="I75" s="46"/>
      <c r="J75" s="46"/>
      <c r="K75" s="46"/>
      <c r="L75" s="47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6:F66"/>
    <mergeCell ref="E67:F67"/>
    <mergeCell ref="E68:F68"/>
    <mergeCell ref="E69:F69"/>
    <mergeCell ref="E70:F70"/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</mergeCells>
  <dataValidations>
    <dataValidation type="list" allowBlank="1" sqref="C6:C51">
      <formula1>"мощность,нагрузка заказов,инфляция,ФОТ,заказы,оборот (GMV)"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7" width="15.0"/>
    <col customWidth="1" min="8" max="8" width="52.0"/>
    <col customWidth="1" min="9" max="26" width="8.71"/>
  </cols>
  <sheetData>
    <row r="2">
      <c r="B2" s="1" t="s">
        <v>2</v>
      </c>
    </row>
    <row r="3">
      <c r="B3" s="6" t="s">
        <v>4</v>
      </c>
    </row>
    <row r="5">
      <c r="B5" s="7" t="s">
        <v>15</v>
      </c>
      <c r="C5" s="8"/>
      <c r="D5" s="8"/>
      <c r="E5" s="8"/>
      <c r="F5" s="8"/>
      <c r="G5" s="8"/>
      <c r="H5" s="8"/>
    </row>
    <row r="6">
      <c r="B6" s="9" t="s">
        <v>34</v>
      </c>
      <c r="C6" s="9" t="s">
        <v>42</v>
      </c>
      <c r="D6" s="9" t="s">
        <v>44</v>
      </c>
      <c r="E6" s="9" t="s">
        <v>46</v>
      </c>
      <c r="F6" s="9" t="s">
        <v>47</v>
      </c>
      <c r="G6" s="9" t="s">
        <v>48</v>
      </c>
      <c r="H6" s="9" t="s">
        <v>50</v>
      </c>
    </row>
    <row r="7">
      <c r="B7" s="11" t="s">
        <v>53</v>
      </c>
      <c r="C7" s="12">
        <v>1000000</v>
      </c>
      <c r="D7" s="12">
        <v>2000000</v>
      </c>
      <c r="E7" s="12">
        <v>4000000</v>
      </c>
      <c r="F7" s="12">
        <v>7000000</v>
      </c>
      <c r="G7" s="12">
        <v>10000000</v>
      </c>
      <c r="H7" s="13" t="inlineStr">
        <is>
          <t>Цель кейса: 1 млн активных пользователей в первый год; расчётный сценарий — 10 млн.</t>
        </is>
      </c>
    </row>
    <row r="8">
      <c r="B8" s="11" t="s">
        <v>55</v>
      </c>
      <c r="C8" s="12">
        <v>300000</v>
      </c>
      <c r="D8" s="12">
        <v>1800000</v>
      </c>
      <c r="E8" s="12">
        <v>6000000</v>
      </c>
      <c r="F8" s="12">
        <v>12000000</v>
      </c>
      <c r="G8" s="12">
        <v>18000000</v>
      </c>
      <c r="H8" s="13" t="inlineStr">
        <is>
          <t>От 300 тыс. до 18 млн заказов в год; единый сценарий спроса для всех вариантов.</t>
        </is>
      </c>
    </row>
    <row r="9">
      <c r="B9" s="11" t="s">
        <v>57</v>
      </c>
      <c r="C9" s="14">
        <v>25</v>
      </c>
      <c r="D9" s="14">
        <v>26</v>
      </c>
      <c r="E9" s="14">
        <v>27</v>
      </c>
      <c r="F9" s="14">
        <v>28</v>
      </c>
      <c r="G9" s="14">
        <v>29</v>
      </c>
      <c r="H9" s="13" t="inlineStr">
        <is>
          <t>Плановая оценка среднего чека; доллары США 2026 года; точность ±30%.</t>
        </is>
      </c>
    </row>
    <row r="10">
      <c r="B10" s="15" t="s">
        <v>59</v>
      </c>
      <c r="C10" s="16">
        <f>C8*C9</f>
        <v>7500000</v>
      </c>
      <c r="D10" s="16">
        <f>D8*D9</f>
        <v>46800000</v>
      </c>
      <c r="E10" s="16">
        <f>E8*E9</f>
        <v>162000000</v>
      </c>
      <c r="F10" s="16">
        <f>F8*F9</f>
        <v>336000000</v>
      </c>
      <c r="G10" s="16">
        <f>G8*G9</f>
        <v>522000000</v>
      </c>
      <c r="H10" s="13" t="inlineStr">
        <is>
          <t>Расчёт: число заказов за год × средний чек.</t>
        </is>
      </c>
    </row>
    <row r="12">
      <c r="B12" s="7" t="s">
        <v>66</v>
      </c>
      <c r="C12" s="8"/>
      <c r="D12" s="8"/>
      <c r="E12" s="8"/>
      <c r="F12" s="8"/>
      <c r="G12" s="8"/>
      <c r="H12" s="8"/>
    </row>
    <row r="13">
      <c r="B13" s="9" t="s">
        <v>67</v>
      </c>
      <c r="C13" s="9" t="s">
        <v>68</v>
      </c>
      <c r="D13" s="9"/>
      <c r="E13" s="9"/>
      <c r="F13" s="9"/>
      <c r="G13" s="9"/>
      <c r="H13" s="9" t="s">
        <v>50</v>
      </c>
    </row>
    <row r="14">
      <c r="B14" s="11" t="s">
        <v>69</v>
      </c>
      <c r="C14" s="19">
        <v>0.08</v>
      </c>
      <c r="H14" s="13" t="inlineStr">
        <is>
          <t>Плановое допущение из модели задания 2; применяется к затратам, растущим с инфляцией.</t>
        </is>
      </c>
    </row>
    <row r="15">
      <c r="B15" s="11" t="s">
        <v>71</v>
      </c>
      <c r="C15" s="19">
        <v>0.12</v>
      </c>
      <c r="H15" s="13" t="inlineStr">
        <is>
          <t>Плановое допущение из модели задания 2; применяется к фонду оплаты труда.</t>
        </is>
      </c>
    </row>
    <row r="16">
      <c r="B16" s="11" t="s">
        <v>73</v>
      </c>
      <c r="C16" s="19">
        <v>0.2</v>
      </c>
      <c r="H16" s="13" t="inlineStr">
        <is>
          <t>Ставка дисконтирования для стартапа с высоким уровнем риска.</t>
        </is>
      </c>
    </row>
    <row r="17">
      <c r="B17" s="11" t="s">
        <v>75</v>
      </c>
      <c r="C17" s="19">
        <v>0.15</v>
      </c>
      <c r="H17" s="13" t="inlineStr">
        <is>
          <t>Резерв начисляется на сумму блоков 1–5.</t>
        </is>
      </c>
    </row>
    <row r="18">
      <c r="B18" s="11" t="s">
        <v>77</v>
      </c>
      <c r="C18" s="18">
        <v>5000</v>
      </c>
      <c r="H18" s="13" t="inlineStr">
        <is>
          <t>Письмо финансового директора, п. 1: жёсткий лимит $5 000 в месяц.</t>
        </is>
      </c>
    </row>
    <row r="19">
      <c r="B19" s="11" t="s">
        <v>79</v>
      </c>
      <c r="C19" s="18">
        <v>12000</v>
      </c>
      <c r="H19" s="13" t="inlineStr">
        <is>
          <t>Оценка инвестора; используется для анализа чувствительности, а не как подтверждённый ожидаемый ущерб.</t>
        </is>
      </c>
    </row>
    <row r="20">
      <c r="B20" s="11" t="s">
        <v>81</v>
      </c>
      <c r="C20" s="20">
        <v>0.9995</v>
      </c>
      <c r="H20" s="13" t="inlineStr">
        <is>
          <t>Для сопоставимости используется тот же плановый уровень обслуживания, что и в варианте A.</t>
        </is>
      </c>
    </row>
    <row r="21" ht="15.75" customHeight="1">
      <c r="B21" s="11" t="s">
        <v>83</v>
      </c>
      <c r="C21" s="21">
        <v>1</v>
      </c>
      <c r="H21" s="13" t="inlineStr">
        <is>
          <t>Значение 1 сохраняет оценку потерь от простоя отдельно от прямых затрат.</t>
        </is>
      </c>
    </row>
    <row r="22" ht="15.75" customHeight="1"/>
    <row r="23" ht="15.75" customHeight="1">
      <c r="B23" s="7" t="s">
        <v>85</v>
      </c>
      <c r="C23" s="8"/>
      <c r="D23" s="8"/>
      <c r="E23" s="8"/>
      <c r="F23" s="8"/>
      <c r="G23" s="8"/>
      <c r="H23" s="8"/>
    </row>
    <row r="24" ht="15.75" customHeight="1">
      <c r="B24" s="9" t="s">
        <v>86</v>
      </c>
      <c r="C24" s="9" t="s">
        <v>42</v>
      </c>
      <c r="D24" s="9" t="s">
        <v>44</v>
      </c>
      <c r="E24" s="9" t="s">
        <v>46</v>
      </c>
      <c r="F24" s="9" t="s">
        <v>47</v>
      </c>
      <c r="G24" s="9" t="s">
        <v>48</v>
      </c>
      <c r="H24" s="9" t="s">
        <v>87</v>
      </c>
    </row>
    <row r="25" ht="15.75" customHeight="1">
      <c r="B25" s="11" t="inlineStr">
        <is>
          <t>мощность</t>
        </is>
      </c>
      <c r="C25" s="22">
        <f>SQRT(C7/$C$7)</f>
        <v>1</v>
      </c>
      <c r="D25" s="22">
        <f>SQRT(D7/$C$7)</f>
        <v>1.4142135623731</v>
      </c>
      <c r="E25" s="22">
        <f>SQRT(E7/$C$7)</f>
        <v>2</v>
      </c>
      <c r="F25" s="22">
        <f>SQRT(F7/$C$7)</f>
        <v>2.64575131106459</v>
      </c>
      <c r="G25" s="22">
        <f>SQRT(G7/$C$7)</f>
        <v>3.16227766016838</v>
      </c>
      <c r="H25" s="13" t="inlineStr">
        <is>
          <t>Квадратный корень из роста активных пользователей; учитывает экономию от масштаба инфраструктуры.</t>
        </is>
      </c>
    </row>
    <row r="26" ht="15.75" customHeight="1">
      <c r="B26" s="11" t="inlineStr">
        <is>
          <t>нагрузка заказов</t>
        </is>
      </c>
      <c r="C26" s="22">
        <f>SQRT(C8/$C$8)</f>
        <v>1</v>
      </c>
      <c r="D26" s="22">
        <f>SQRT(D8/$C$8)</f>
        <v>2.44948974278318</v>
      </c>
      <c r="E26" s="22">
        <f>SQRT(E8/$C$8)</f>
        <v>4.47213595499958</v>
      </c>
      <c r="F26" s="22">
        <f>SQRT(F8/$C$8)</f>
        <v>6.32455532033676</v>
      </c>
      <c r="G26" s="22">
        <f>SQRT(G8/$C$8)</f>
        <v>7.74596669241483</v>
      </c>
      <c r="H26" s="13" t="inlineStr">
        <is>
          <t>Квадратный корень из роста числа заказов; применяется к трафику и асинхронной обработке.</t>
        </is>
      </c>
    </row>
    <row r="27" ht="15.75" customHeight="1">
      <c r="B27" s="11" t="inlineStr">
        <is>
          <t>инфляция</t>
        </is>
      </c>
      <c r="C27" s="22">
        <f>1</f>
        <v>1</v>
      </c>
      <c r="D27" s="22">
        <f>C27*(1+$C$14)</f>
        <v>1.08</v>
      </c>
      <c r="E27" s="22">
        <f>D27*(1+$C$14)</f>
        <v>1.1664</v>
      </c>
      <c r="F27" s="22">
        <f>E27*(1+$C$14)</f>
        <v>1.259712</v>
      </c>
      <c r="G27" s="22">
        <f>F27*(1+$C$14)</f>
        <v>1.36048896</v>
      </c>
      <c r="H27" s="13" t="inlineStr">
        <is>
          <t>Год N = предыдущий год × (1 + инфляция затрат).</t>
        </is>
      </c>
    </row>
    <row r="28" ht="15.75" customHeight="1">
      <c r="B28" s="11" t="inlineStr">
        <is>
          <t>ФОТ</t>
        </is>
      </c>
      <c r="C28" s="22">
        <f>1</f>
        <v>1</v>
      </c>
      <c r="D28" s="22">
        <f>C28*(1+$C$15)</f>
        <v>1.12</v>
      </c>
      <c r="E28" s="22">
        <f>D28*(1+$C$15)</f>
        <v>1.2544</v>
      </c>
      <c r="F28" s="22">
        <f>E28*(1+$C$15)</f>
        <v>1.404928</v>
      </c>
      <c r="G28" s="22">
        <f>F28*(1+$C$15)</f>
        <v>1.57351936</v>
      </c>
      <c r="H28" s="13" t="inlineStr">
        <is>
          <t>Год N = предыдущий год × (1 + рост ФОТ).</t>
        </is>
      </c>
    </row>
    <row r="29" ht="15.75" customHeight="1">
      <c r="B29" s="11" t="inlineStr">
        <is>
          <t>заказы</t>
        </is>
      </c>
      <c r="C29" s="22">
        <f>C8/$C$8</f>
        <v>1</v>
      </c>
      <c r="D29" s="22">
        <f>D8/$C$8</f>
        <v>6</v>
      </c>
      <c r="E29" s="22">
        <f>E8/$C$8</f>
        <v>20</v>
      </c>
      <c r="F29" s="22">
        <f>F8/$C$8</f>
        <v>40</v>
      </c>
      <c r="G29" s="22">
        <f>G8/$C$8</f>
        <v>60</v>
      </c>
      <c r="H29" s="13" t="inlineStr">
        <is>
          <t>Линейная зависимость от числа заказов для поштучно тарифицируемых услуг партнёров.</t>
        </is>
      </c>
    </row>
    <row r="30" ht="15.75" customHeight="1">
      <c r="B30" s="11" t="inlineStr">
        <is>
          <t>оборот (GMV)</t>
        </is>
      </c>
      <c r="C30" s="22">
        <f>C10/$C$10</f>
        <v>1</v>
      </c>
      <c r="D30" s="22">
        <f>D10/$C$10</f>
        <v>6.24</v>
      </c>
      <c r="E30" s="22">
        <f>E10/$C$10</f>
        <v>21.6</v>
      </c>
      <c r="F30" s="22">
        <f>F10/$C$10</f>
        <v>44.8</v>
      </c>
      <c r="G30" s="22">
        <f>G10/$C$10</f>
        <v>69.6</v>
      </c>
      <c r="H30" s="13" t="inlineStr">
        <is>
          <t>Линейная зависимость комиссий платёжных провайдеров от оборота.</t>
        </is>
      </c>
    </row>
    <row r="31" ht="15.75" customHeight="1"/>
    <row r="32" ht="15.0" customHeight="1">
      <c r="B32" s="13" t="inlineStr">
        <is>
          <t>Заданные показатели мощности растут пропорционально квадратному корню из нагрузки и учитывают экономию от масштаба; транзакционные расходы растут линейно с числом заказов или оборотом.</t>
        </is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2:H33"/>
  </mergeCells>
  <printOptions/>
  <pageMargins bottom="1.0" footer="0.0" header="0.0" left="0.75" right="0.75" top="1.0"/>
  <pageSetup paperSize="9" orientation="portrait"/>
</worksheet>
</file>

<file path=xl/worksheets/sheet5.xml><?xml version="1.0" encoding="utf-8"?>
<worksheet xmlns="http://schemas.openxmlformats.org/spreadsheetm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44.0"/>
    <col customWidth="1" min="3" max="3" width="16.0"/>
    <col customWidth="1" min="4" max="4" width="15.0"/>
    <col customWidth="1" min="5" max="10" width="14.0"/>
    <col customWidth="1" min="11" max="11" width="10.0"/>
    <col customWidth="1" min="12" max="12" width="46.0"/>
    <col customWidth="1" min="13" max="26" width="8.71"/>
  </cols>
  <sheetData>
    <row r="2">
      <c r="B2" s="1" t="s">
        <v>1</v>
      </c>
    </row>
    <row r="3">
      <c r="B3" s="6" t="s">
        <v>5</v>
      </c>
    </row>
    <row r="5" ht="31.5" customHeight="1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B7" s="11" t="inlineStr">
        <is>
          <t>Вычислительные ресурсы и оркестрация</t>
        </is>
      </c>
      <c r="C7" s="17" t="inlineStr">
        <is>
          <t>мощность</t>
        </is>
      </c>
      <c r="D7" s="18">
        <v>24000</v>
      </c>
      <c r="E7" s="23">
        <f>IF($D7="","",$D7*INDEX('B-Допущения'!$C$25:$G$30,MATCH($C7,'B-Допущения'!$B$25:$B$30,0),1))</f>
        <v>24000</v>
      </c>
      <c r="F7" s="23">
        <f>IF($D7="","",$D7*INDEX('B-Допущения'!$C$25:$G$30,MATCH($C7,'B-Допущения'!$B$25:$B$30,0),2))</f>
        <v>33941.1254969543</v>
      </c>
      <c r="G7" s="23">
        <f>IF($D7="","",$D7*INDEX('B-Допущения'!$C$25:$G$30,MATCH($C7,'B-Допущения'!$B$25:$B$30,0),3))</f>
        <v>48000</v>
      </c>
      <c r="H7" s="23">
        <f>IF($D7="","",$D7*INDEX('B-Допущения'!$C$25:$G$30,MATCH($C7,'B-Допущения'!$B$25:$B$30,0),4))</f>
        <v>63498.0314655502</v>
      </c>
      <c r="I7" s="23">
        <f>IF($D7="","",$D7*INDEX('B-Допущения'!$C$25:$G$30,MATCH($C7,'B-Допущения'!$B$25:$B$30,0),5))</f>
        <v>75894.6638440411</v>
      </c>
      <c r="J7" s="23">
        <f>SUM(E7:I7)</f>
        <v>245333.820806546</v>
      </c>
      <c r="K7" s="24"/>
      <c r="L7" s="25" t="inlineStr">
        <is>
          <t>6–8 укрупнённых сервисов и управляемая оркестрация.</t>
        </is>
      </c>
    </row>
    <row r="8">
      <c r="B8" s="11" t="inlineStr">
        <is>
          <t>Управляемая СУБД PostgreSQL</t>
        </is>
      </c>
      <c r="C8" s="17" t="inlineStr">
        <is>
          <t>мощность</t>
        </is>
      </c>
      <c r="D8" s="18">
        <v>15000</v>
      </c>
      <c r="E8" s="23">
        <f>IF($D8="","",$D8*INDEX('B-Допущения'!$C$25:$G$30,MATCH($C8,'B-Допущения'!$B$25:$B$30,0),1))</f>
        <v>15000</v>
      </c>
      <c r="F8" s="23">
        <f>IF($D8="","",$D8*INDEX('B-Допущения'!$C$25:$G$30,MATCH($C8,'B-Допущения'!$B$25:$B$30,0),2))</f>
        <v>21213.2034355964</v>
      </c>
      <c r="G8" s="23">
        <f>IF($D8="","",$D8*INDEX('B-Допущения'!$C$25:$G$30,MATCH($C8,'B-Допущения'!$B$25:$B$30,0),3))</f>
        <v>30000</v>
      </c>
      <c r="H8" s="23">
        <f>IF($D8="","",$D8*INDEX('B-Допущения'!$C$25:$G$30,MATCH($C8,'B-Допущения'!$B$25:$B$30,0),4))</f>
        <v>39686.2696659689</v>
      </c>
      <c r="I8" s="23">
        <f>IF($D8="","",$D8*INDEX('B-Допущения'!$C$25:$G$30,MATCH($C8,'B-Допущения'!$B$25:$B$30,0),5))</f>
        <v>47434.1649025257</v>
      </c>
      <c r="J8" s="23">
        <f>SUM(E8:I8)</f>
        <v>153333.638004091</v>
      </c>
      <c r="K8" s="24"/>
      <c r="L8" s="25" t="inlineStr">
        <is>
          <t>Несколько схем или экземпляров для сервисов; предварительная оценка.</t>
        </is>
      </c>
    </row>
    <row r="9">
      <c r="B9" s="11" t="inlineStr">
        <is>
          <t>Объектное хранилище и резервные копии</t>
        </is>
      </c>
      <c r="C9" s="17" t="inlineStr">
        <is>
          <t>мощность</t>
        </is>
      </c>
      <c r="D9" s="18">
        <v>4000</v>
      </c>
      <c r="E9" s="23">
        <f>IF($D9="","",$D9*INDEX('B-Допущения'!$C$25:$G$30,MATCH($C9,'B-Допущения'!$B$25:$B$30,0),1))</f>
        <v>4000</v>
      </c>
      <c r="F9" s="23">
        <f>IF($D9="","",$D9*INDEX('B-Допущения'!$C$25:$G$30,MATCH($C9,'B-Допущения'!$B$25:$B$30,0),2))</f>
        <v>5656.85424949238</v>
      </c>
      <c r="G9" s="23">
        <f>IF($D9="","",$D9*INDEX('B-Допущения'!$C$25:$G$30,MATCH($C9,'B-Допущения'!$B$25:$B$30,0),3))</f>
        <v>8000</v>
      </c>
      <c r="H9" s="23">
        <f>IF($D9="","",$D9*INDEX('B-Допущения'!$C$25:$G$30,MATCH($C9,'B-Допущения'!$B$25:$B$30,0),4))</f>
        <v>10583.0052442584</v>
      </c>
      <c r="I9" s="23">
        <f>IF($D9="","",$D9*INDEX('B-Допущения'!$C$25:$G$30,MATCH($C9,'B-Допущения'!$B$25:$B$30,0),5))</f>
        <v>12649.1106406735</v>
      </c>
      <c r="J9" s="23">
        <f>SUM(E9:I9)</f>
        <v>40888.9701344243</v>
      </c>
      <c r="K9" s="24"/>
      <c r="L9" s="25" t="inlineStr">
        <is>
          <t>Повышенные накладные расходы на сервисы и данные.</t>
        </is>
      </c>
    </row>
    <row r="10">
      <c r="B10" s="11" t="inlineStr">
        <is>
          <t>Сеть доставки содержимого (CDN) и исходящий трафик</t>
        </is>
      </c>
      <c r="C10" s="17" t="inlineStr">
        <is>
          <t>нагрузка заказов</t>
        </is>
      </c>
      <c r="D10" s="18">
        <v>8000</v>
      </c>
      <c r="E10" s="23">
        <f>IF($D10="","",$D10*INDEX('B-Допущения'!$C$25:$G$30,MATCH($C10,'B-Допущения'!$B$25:$B$30,0),1))</f>
        <v>8000</v>
      </c>
      <c r="F10" s="23">
        <f>IF($D10="","",$D10*INDEX('B-Допущения'!$C$25:$G$30,MATCH($C10,'B-Допущения'!$B$25:$B$30,0),2))</f>
        <v>19595.9179422654</v>
      </c>
      <c r="G10" s="23">
        <f>IF($D10="","",$D10*INDEX('B-Допущения'!$C$25:$G$30,MATCH($C10,'B-Допущения'!$B$25:$B$30,0),3))</f>
        <v>35777.0876399966</v>
      </c>
      <c r="H10" s="23">
        <f>IF($D10="","",$D10*INDEX('B-Допущения'!$C$25:$G$30,MATCH($C10,'B-Допущения'!$B$25:$B$30,0),4))</f>
        <v>50596.4425626941</v>
      </c>
      <c r="I10" s="23">
        <f>IF($D10="","",$D10*INDEX('B-Допущения'!$C$25:$G$30,MATCH($C10,'B-Допущения'!$B$25:$B$30,0),5))</f>
        <v>61967.7335393187</v>
      </c>
      <c r="J10" s="23">
        <f>SUM(E10:I10)</f>
        <v>175937.181684275</v>
      </c>
      <c r="K10" s="24"/>
      <c r="L10" s="25" t="inlineStr">
        <is>
          <t>Мобильные изображения и исходящий трафик программных интерфейсов.</t>
        </is>
      </c>
    </row>
    <row r="11">
      <c r="B11" s="11" t="inlineStr">
        <is>
          <t>Управляемый обмен сообщениями</t>
        </is>
      </c>
      <c r="C11" s="17" t="inlineStr">
        <is>
          <t>нагрузка заказов</t>
        </is>
      </c>
      <c r="D11" s="18">
        <v>5000</v>
      </c>
      <c r="E11" s="23">
        <f>IF($D11="","",$D11*INDEX('B-Допущения'!$C$25:$G$30,MATCH($C11,'B-Допущения'!$B$25:$B$30,0),1))</f>
        <v>5000</v>
      </c>
      <c r="F11" s="23">
        <f>IF($D11="","",$D11*INDEX('B-Допущения'!$C$25:$G$30,MATCH($C11,'B-Допущения'!$B$25:$B$30,0),2))</f>
        <v>12247.4487139159</v>
      </c>
      <c r="G11" s="23">
        <f>IF($D11="","",$D11*INDEX('B-Допущения'!$C$25:$G$30,MATCH($C11,'B-Допущения'!$B$25:$B$30,0),3))</f>
        <v>22360.6797749979</v>
      </c>
      <c r="H11" s="23">
        <f>IF($D11="","",$D11*INDEX('B-Допущения'!$C$25:$G$30,MATCH($C11,'B-Допущения'!$B$25:$B$30,0),4))</f>
        <v>31622.7766016838</v>
      </c>
      <c r="I11" s="23">
        <f>IF($D11="","",$D11*INDEX('B-Допущения'!$C$25:$G$30,MATCH($C11,'B-Допущения'!$B$25:$B$30,0),5))</f>
        <v>38729.8334620742</v>
      </c>
      <c r="J11" s="23">
        <f>SUM(E11:I11)</f>
        <v>109960.738552672</v>
      </c>
      <c r="K11" s="24"/>
      <c r="L11" s="25" t="inlineStr">
        <is>
          <t>Событийный обмен и взаимодействие между сервисами.</t>
        </is>
      </c>
    </row>
    <row r="12">
      <c r="B12" s="11" t="inlineStr">
        <is>
          <t>Тёплый резерв для аварийного восстановления</t>
        </is>
      </c>
      <c r="C12" s="17" t="inlineStr">
        <is>
          <t>мощность</t>
        </is>
      </c>
      <c r="D12" s="18">
        <v>12000</v>
      </c>
      <c r="E12" s="23">
        <f>IF($D12="","",$D12*INDEX('B-Допущения'!$C$25:$G$30,MATCH($C12,'B-Допущения'!$B$25:$B$30,0),1))</f>
        <v>12000</v>
      </c>
      <c r="F12" s="23">
        <f>IF($D12="","",$D12*INDEX('B-Допущения'!$C$25:$G$30,MATCH($C12,'B-Допущения'!$B$25:$B$30,0),2))</f>
        <v>16970.5627484771</v>
      </c>
      <c r="G12" s="23">
        <f>IF($D12="","",$D12*INDEX('B-Допущения'!$C$25:$G$30,MATCH($C12,'B-Допущения'!$B$25:$B$30,0),3))</f>
        <v>24000</v>
      </c>
      <c r="H12" s="23">
        <f>IF($D12="","",$D12*INDEX('B-Допущения'!$C$25:$G$30,MATCH($C12,'B-Допущения'!$B$25:$B$30,0),4))</f>
        <v>31749.0157327751</v>
      </c>
      <c r="I12" s="23">
        <f>IF($D12="","",$D12*INDEX('B-Допущения'!$C$25:$G$30,MATCH($C12,'B-Допущения'!$B$25:$B$30,0),5))</f>
        <v>37947.3319220206</v>
      </c>
      <c r="J12" s="23">
        <f>SUM(E12:I12)</f>
        <v>122666.910403273</v>
      </c>
      <c r="K12" s="24"/>
      <c r="L12" s="25" t="inlineStr">
        <is>
          <t>Дополнительные развёртываемые компоненты и хранилища данных.</t>
        </is>
      </c>
    </row>
    <row r="13">
      <c r="B13" s="11" t="inlineStr">
        <is>
          <t>Локальное размещение данных в Нигерии</t>
        </is>
      </c>
      <c r="C13" s="17" t="inlineStr">
        <is>
          <t>инфляция</t>
        </is>
      </c>
      <c r="D13" s="18">
        <v>12000</v>
      </c>
      <c r="E13" s="23">
        <f>IF($D13="","",$D13*INDEX('B-Допущения'!$C$25:$G$30,MATCH($C13,'B-Допущения'!$B$25:$B$30,0),1))</f>
        <v>12000</v>
      </c>
      <c r="F13" s="23">
        <f>IF($D13="","",$D13*INDEX('B-Допущения'!$C$25:$G$30,MATCH($C13,'B-Допущения'!$B$25:$B$30,0),2))</f>
        <v>12960</v>
      </c>
      <c r="G13" s="23">
        <f>IF($D13="","",$D13*INDEX('B-Допущения'!$C$25:$G$30,MATCH($C13,'B-Допущения'!$B$25:$B$30,0),3))</f>
        <v>13996.8</v>
      </c>
      <c r="H13" s="23">
        <f>IF($D13="","",$D13*INDEX('B-Допущения'!$C$25:$G$30,MATCH($C13,'B-Допущения'!$B$25:$B$30,0),4))</f>
        <v>15116.544</v>
      </c>
      <c r="I13" s="23">
        <f>IF($D13="","",$D13*INDEX('B-Допущения'!$C$25:$G$30,MATCH($C13,'B-Допущения'!$B$25:$B$30,0),5))</f>
        <v>16325.86752</v>
      </c>
      <c r="J13" s="23">
        <f>SUM(E13:I13)</f>
        <v>70399.21152</v>
      </c>
      <c r="K13" s="24"/>
      <c r="L13" s="25" t="inlineStr">
        <is>
          <t>Плановый резерв; требуется коммерческое предложение провайдера из задания 4.</t>
        </is>
      </c>
    </row>
    <row r="14">
      <c r="B14" s="11" t="inlineStr">
        <is>
          <t/>
        </is>
      </c>
      <c r="C14" s="17" t="inlineStr">
        <is>
          <t>инфляция</t>
        </is>
      </c>
      <c r="D14" s="18"/>
      <c r="E14" s="23">
        <f>IF($D14="","",$D14*INDEX('B-Допущения'!$C$25:$G$30,MATCH($C14,'B-Допущения'!$B$25:$B$30,0),1))</f>
        <v/>
      </c>
      <c r="F14" s="23">
        <f>IF($D14="","",$D14*INDEX('B-Допущения'!$C$25:$G$30,MATCH($C14,'B-Допущения'!$B$25:$B$30,0),2))</f>
        <v/>
      </c>
      <c r="G14" s="23">
        <f>IF($D14="","",$D14*INDEX('B-Допущения'!$C$25:$G$30,MATCH($C14,'B-Допущения'!$B$25:$B$30,0),3))</f>
        <v/>
      </c>
      <c r="H14" s="23">
        <f>IF($D14="","",$D14*INDEX('B-Допущения'!$C$25:$G$30,MATCH($C14,'B-Допущения'!$B$25:$B$30,0),4))</f>
        <v/>
      </c>
      <c r="I14" s="23">
        <f>IF($D14="","",$D14*INDEX('B-Допущения'!$C$25:$G$30,MATCH($C14,'B-Допущения'!$B$25:$B$30,0),5))</f>
        <v/>
      </c>
      <c r="J14" s="23">
        <f>SUM(E14:I14)</f>
        <v>0</v>
      </c>
      <c r="K14" s="24"/>
      <c r="L14" s="25" t="inlineStr">
        <is>
          <t/>
        </is>
      </c>
    </row>
    <row r="15">
      <c r="B15" s="26" t="s">
        <v>114</v>
      </c>
      <c r="C15" s="27"/>
      <c r="D15" s="27"/>
      <c r="E15" s="28">
        <f>SUM(E7:E14)</f>
        <v>80000</v>
      </c>
      <c r="F15" s="28">
        <f>SUM(F7:F14)</f>
        <v>122585.112586702</v>
      </c>
      <c r="G15" s="28">
        <f>SUM(G7:G14)</f>
        <v>182134.567414995</v>
      </c>
      <c r="H15" s="28">
        <f>SUM(H7:H14)</f>
        <v>242852.08527293</v>
      </c>
      <c r="I15" s="28">
        <f>SUM(I7:I14)</f>
        <v>290948.705830654</v>
      </c>
      <c r="J15" s="28">
        <f>SUM(E15:I15)</f>
        <v>918520.47110528</v>
      </c>
      <c r="K15" s="29">
        <f>IFERROR(J15/$J$51,0)</f>
        <v>0.0204563331712167</v>
      </c>
      <c r="L15" s="27"/>
    </row>
    <row r="16">
      <c r="C16" s="30"/>
    </row>
    <row r="17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>
      <c r="B18" s="11" t="inlineStr">
        <is>
          <t>Наблюдаемость</t>
        </is>
      </c>
      <c r="C18" s="17" t="inlineStr">
        <is>
          <t>мощность</t>
        </is>
      </c>
      <c r="D18" s="18">
        <v>6000</v>
      </c>
      <c r="E18" s="23">
        <f>IF($D18="","",$D18*INDEX('B-Допущения'!$C$25:$G$30,MATCH($C18,'B-Допущения'!$B$25:$B$30,0),1))</f>
        <v>6000</v>
      </c>
      <c r="F18" s="23">
        <f>IF($D18="","",$D18*INDEX('B-Допущения'!$C$25:$G$30,MATCH($C18,'B-Допущения'!$B$25:$B$30,0),2))</f>
        <v>8485.28137423857</v>
      </c>
      <c r="G18" s="23">
        <f>IF($D18="","",$D18*INDEX('B-Допущения'!$C$25:$G$30,MATCH($C18,'B-Допущения'!$B$25:$B$30,0),3))</f>
        <v>12000</v>
      </c>
      <c r="H18" s="23">
        <f>IF($D18="","",$D18*INDEX('B-Допущения'!$C$25:$G$30,MATCH($C18,'B-Допущения'!$B$25:$B$30,0),4))</f>
        <v>15874.5078663875</v>
      </c>
      <c r="I18" s="23">
        <f>IF($D18="","",$D18*INDEX('B-Допущения'!$C$25:$G$30,MATCH($C18,'B-Допущения'!$B$25:$B$30,0),5))</f>
        <v>18973.6659610103</v>
      </c>
      <c r="J18" s="23">
        <f>SUM(E18:I18)</f>
        <v>61333.4552016364</v>
      </c>
      <c r="K18" s="24"/>
      <c r="L18" s="25" t="inlineStr">
        <is>
          <t>Журналы, метрики и трассировка распределённой системы.</t>
        </is>
      </c>
    </row>
    <row r="19">
      <c r="B19" s="11" t="inlineStr">
        <is>
          <t>Непрерывная интеграция и доставка, репозиторий, артефакты</t>
        </is>
      </c>
      <c r="C19" s="17" t="inlineStr">
        <is>
          <t>инфляция</t>
        </is>
      </c>
      <c r="D19" s="18">
        <v>2400</v>
      </c>
      <c r="E19" s="23">
        <f>IF($D19="","",$D19*INDEX('B-Допущения'!$C$25:$G$30,MATCH($C19,'B-Допущения'!$B$25:$B$30,0),1))</f>
        <v>2400</v>
      </c>
      <c r="F19" s="23">
        <f>IF($D19="","",$D19*INDEX('B-Допущения'!$C$25:$G$30,MATCH($C19,'B-Допущения'!$B$25:$B$30,0),2))</f>
        <v>2592</v>
      </c>
      <c r="G19" s="23">
        <f>IF($D19="","",$D19*INDEX('B-Допущения'!$C$25:$G$30,MATCH($C19,'B-Допущения'!$B$25:$B$30,0),3))</f>
        <v>2799.36</v>
      </c>
      <c r="H19" s="23">
        <f>IF($D19="","",$D19*INDEX('B-Допущения'!$C$25:$G$30,MATCH($C19,'B-Допущения'!$B$25:$B$30,0),4))</f>
        <v>3023.3088</v>
      </c>
      <c r="I19" s="23">
        <f>IF($D19="","",$D19*INDEX('B-Допущения'!$C$25:$G$30,MATCH($C19,'B-Допущения'!$B$25:$B$30,0),5))</f>
        <v>3265.173504</v>
      </c>
      <c r="J19" s="23">
        <f>SUM(E19:I19)</f>
        <v>14079.842304</v>
      </c>
      <c r="K19" s="24"/>
      <c r="L19" s="25" t="inlineStr">
        <is>
          <t>Несколько независимо развёртываемых компонентов.</t>
        </is>
      </c>
    </row>
    <row r="20">
      <c r="B20" s="11" t="inlineStr">
        <is>
          <t>Безопасность: межсетевой экран веб-приложений и секреты</t>
        </is>
      </c>
      <c r="C20" s="17" t="inlineStr">
        <is>
          <t>мощность</t>
        </is>
      </c>
      <c r="D20" s="18">
        <v>6000</v>
      </c>
      <c r="E20" s="23">
        <f>IF($D20="","",$D20*INDEX('B-Допущения'!$C$25:$G$30,MATCH($C20,'B-Допущения'!$B$25:$B$30,0),1))</f>
        <v>6000</v>
      </c>
      <c r="F20" s="23">
        <f>IF($D20="","",$D20*INDEX('B-Допущения'!$C$25:$G$30,MATCH($C20,'B-Допущения'!$B$25:$B$30,0),2))</f>
        <v>8485.28137423857</v>
      </c>
      <c r="G20" s="23">
        <f>IF($D20="","",$D20*INDEX('B-Допущения'!$C$25:$G$30,MATCH($C20,'B-Допущения'!$B$25:$B$30,0),3))</f>
        <v>12000</v>
      </c>
      <c r="H20" s="23">
        <f>IF($D20="","",$D20*INDEX('B-Допущения'!$C$25:$G$30,MATCH($C20,'B-Допущения'!$B$25:$B$30,0),4))</f>
        <v>15874.5078663875</v>
      </c>
      <c r="I20" s="23">
        <f>IF($D20="","",$D20*INDEX('B-Допущения'!$C$25:$G$30,MATCH($C20,'B-Допущения'!$B$25:$B$30,0),5))</f>
        <v>18973.6659610103</v>
      </c>
      <c r="J20" s="23">
        <f>SUM(E20:I20)</f>
        <v>61333.4552016364</v>
      </c>
      <c r="K20" s="24"/>
      <c r="L20" s="25" t="inlineStr">
        <is>
          <t>Больше технических учётных записей и границ доступа.</t>
        </is>
      </c>
    </row>
    <row r="21" ht="15.75" customHeight="1">
      <c r="B21" s="11" t="inlineStr">
        <is>
          <t>Фиксированная плата за WhatsApp Business API</t>
        </is>
      </c>
      <c r="C21" s="17" t="inlineStr">
        <is>
          <t>инфляция</t>
        </is>
      </c>
      <c r="D21" s="18">
        <v>1200</v>
      </c>
      <c r="E21" s="23">
        <f>IF($D21="","",$D21*INDEX('B-Допущения'!$C$25:$G$30,MATCH($C21,'B-Допущения'!$B$25:$B$30,0),1))</f>
        <v>1200</v>
      </c>
      <c r="F21" s="23">
        <f>IF($D21="","",$D21*INDEX('B-Допущения'!$C$25:$G$30,MATCH($C21,'B-Допущения'!$B$25:$B$30,0),2))</f>
        <v>1296</v>
      </c>
      <c r="G21" s="23">
        <f>IF($D21="","",$D21*INDEX('B-Допущения'!$C$25:$G$30,MATCH($C21,'B-Допущения'!$B$25:$B$30,0),3))</f>
        <v>1399.68</v>
      </c>
      <c r="H21" s="23">
        <f>IF($D21="","",$D21*INDEX('B-Допущения'!$C$25:$G$30,MATCH($C21,'B-Допущения'!$B$25:$B$30,0),4))</f>
        <v>1511.6544</v>
      </c>
      <c r="I21" s="23">
        <f>IF($D21="","",$D21*INDEX('B-Допущения'!$C$25:$G$30,MATCH($C21,'B-Допущения'!$B$25:$B$30,0),5))</f>
        <v>1632.586752</v>
      </c>
      <c r="J21" s="23">
        <f>SUM(E21:I21)</f>
        <v>7039.921152</v>
      </c>
      <c r="K21" s="24"/>
      <c r="L21" s="25" t="inlineStr">
        <is>
          <t>Постоянная плата; переменные расходы учтены в блоке 3.</t>
        </is>
      </c>
    </row>
    <row r="22" ht="15.75" customHeight="1">
      <c r="B22" s="11" t="inlineStr">
        <is>
          <t>Прочие инструменты разработки</t>
        </is>
      </c>
      <c r="C22" s="17" t="inlineStr">
        <is>
          <t>инфляция</t>
        </is>
      </c>
      <c r="D22" s="18">
        <v>2400</v>
      </c>
      <c r="E22" s="23">
        <f>IF($D22="","",$D22*INDEX('B-Допущения'!$C$25:$G$30,MATCH($C22,'B-Допущения'!$B$25:$B$30,0),1))</f>
        <v>2400</v>
      </c>
      <c r="F22" s="23">
        <f>IF($D22="","",$D22*INDEX('B-Допущения'!$C$25:$G$30,MATCH($C22,'B-Допущения'!$B$25:$B$30,0),2))</f>
        <v>2592</v>
      </c>
      <c r="G22" s="23">
        <f>IF($D22="","",$D22*INDEX('B-Допущения'!$C$25:$G$30,MATCH($C22,'B-Допущения'!$B$25:$B$30,0),3))</f>
        <v>2799.36</v>
      </c>
      <c r="H22" s="23">
        <f>IF($D22="","",$D22*INDEX('B-Допущения'!$C$25:$G$30,MATCH($C22,'B-Допущения'!$B$25:$B$30,0),4))</f>
        <v>3023.3088</v>
      </c>
      <c r="I22" s="23">
        <f>IF($D22="","",$D22*INDEX('B-Допущения'!$C$25:$G$30,MATCH($C22,'B-Допущения'!$B$25:$B$30,0),5))</f>
        <v>3265.173504</v>
      </c>
      <c r="J22" s="23">
        <f>SUM(E22:I22)</f>
        <v>14079.842304</v>
      </c>
      <c r="K22" s="24"/>
      <c r="L22" s="25" t="inlineStr">
        <is>
          <t>Инструменты для расширенной команды и нескольких сервисов.</t>
        </is>
      </c>
    </row>
    <row r="23" ht="15.75" customHeight="1">
      <c r="B23" s="11" t="inlineStr">
        <is>
          <t/>
        </is>
      </c>
      <c r="C23" s="17" t="inlineStr">
        <is>
          <t>инфляция</t>
        </is>
      </c>
      <c r="D23" s="18"/>
      <c r="E23" s="23">
        <f>IF($D23="","",$D23*INDEX('B-Допущения'!$C$25:$G$30,MATCH($C23,'B-Допущения'!$B$25:$B$30,0),1))</f>
        <v/>
      </c>
      <c r="F23" s="23">
        <f>IF($D23="","",$D23*INDEX('B-Допущения'!$C$25:$G$30,MATCH($C23,'B-Допущения'!$B$25:$B$30,0),2))</f>
        <v/>
      </c>
      <c r="G23" s="23">
        <f>IF($D23="","",$D23*INDEX('B-Допущения'!$C$25:$G$30,MATCH($C23,'B-Допущения'!$B$25:$B$30,0),3))</f>
        <v/>
      </c>
      <c r="H23" s="23">
        <f>IF($D23="","",$D23*INDEX('B-Допущения'!$C$25:$G$30,MATCH($C23,'B-Допущения'!$B$25:$B$30,0),4))</f>
        <v/>
      </c>
      <c r="I23" s="23">
        <f>IF($D23="","",$D23*INDEX('B-Допущения'!$C$25:$G$30,MATCH($C23,'B-Допущения'!$B$25:$B$30,0),5))</f>
        <v/>
      </c>
      <c r="J23" s="23">
        <f>SUM(E23:I23)</f>
        <v>0</v>
      </c>
      <c r="K23" s="24"/>
      <c r="L23" s="25" t="inlineStr">
        <is>
          <t/>
        </is>
      </c>
    </row>
    <row r="24" ht="15.75" customHeight="1">
      <c r="B24" s="26" t="s">
        <v>114</v>
      </c>
      <c r="C24" s="27"/>
      <c r="D24" s="27"/>
      <c r="E24" s="28">
        <f>SUM(E18:E23)</f>
        <v>18000</v>
      </c>
      <c r="F24" s="28">
        <f>SUM(F18:F23)</f>
        <v>23450.5627484771</v>
      </c>
      <c r="G24" s="28">
        <f>SUM(G18:G23)</f>
        <v>30998.4</v>
      </c>
      <c r="H24" s="28">
        <f>SUM(H18:H23)</f>
        <v>39307.2877327751</v>
      </c>
      <c r="I24" s="28">
        <f>SUM(I18:I23)</f>
        <v>46110.2656820206</v>
      </c>
      <c r="J24" s="28">
        <f>SUM(E24:I24)</f>
        <v>157866.516163273</v>
      </c>
      <c r="K24" s="29">
        <f>IFERROR(J24/$J$51,0)</f>
        <v>0.00351583895275539</v>
      </c>
      <c r="L24" s="27"/>
    </row>
    <row r="25" ht="15.75" customHeight="1">
      <c r="C25" s="30"/>
    </row>
    <row r="26" ht="15.75" customHeight="1">
      <c r="B26" s="7" t="s">
        <v>126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ht="15.75" customHeight="1">
      <c r="B27" s="11" t="inlineStr">
        <is>
          <t>Комиссии платёжных провайдеров</t>
        </is>
      </c>
      <c r="C27" s="17" t="inlineStr">
        <is>
          <t>оборот (GMV)</t>
        </is>
      </c>
      <c r="D27" s="18">
        <v>187500</v>
      </c>
      <c r="E27" s="23">
        <f>IF($D27="","",$D27*INDEX('B-Допущения'!$C$25:$G$30,MATCH($C27,'B-Допущения'!$B$25:$B$30,0),1))</f>
        <v>187500</v>
      </c>
      <c r="F27" s="23">
        <f>IF($D27="","",$D27*INDEX('B-Допущения'!$C$25:$G$30,MATCH($C27,'B-Допущения'!$B$25:$B$30,0),2))</f>
        <v>1170000</v>
      </c>
      <c r="G27" s="23">
        <f>IF($D27="","",$D27*INDEX('B-Допущения'!$C$25:$G$30,MATCH($C27,'B-Допущения'!$B$25:$B$30,0),3))</f>
        <v>4050000</v>
      </c>
      <c r="H27" s="23">
        <f>IF($D27="","",$D27*INDEX('B-Допущения'!$C$25:$G$30,MATCH($C27,'B-Допущения'!$B$25:$B$30,0),4))</f>
        <v>8400000</v>
      </c>
      <c r="I27" s="23">
        <f>IF($D27="","",$D27*INDEX('B-Допущения'!$C$25:$G$30,MATCH($C27,'B-Допущения'!$B$25:$B$30,0),5))</f>
        <v>13050000</v>
      </c>
      <c r="J27" s="23">
        <f>SUM(E27:I27)</f>
        <v>26857500</v>
      </c>
      <c r="K27" s="24"/>
      <c r="L27" s="25" t="inlineStr">
        <is>
          <t>2,5% оборота первого года; письмо финансового директора, п. 6.</t>
        </is>
      </c>
    </row>
    <row r="28" ht="15.75" customHeight="1">
      <c r="B28" s="11" t="inlineStr">
        <is>
          <t>SMS-уведомления</t>
        </is>
      </c>
      <c r="C28" s="17" t="inlineStr">
        <is>
          <t>заказы</t>
        </is>
      </c>
      <c r="D28" s="18">
        <v>12000</v>
      </c>
      <c r="E28" s="23">
        <f>IF($D28="","",$D28*INDEX('B-Допущения'!$C$25:$G$30,MATCH($C28,'B-Допущения'!$B$25:$B$30,0),1))</f>
        <v>12000</v>
      </c>
      <c r="F28" s="23">
        <f>IF($D28="","",$D28*INDEX('B-Допущения'!$C$25:$G$30,MATCH($C28,'B-Допущения'!$B$25:$B$30,0),2))</f>
        <v>72000</v>
      </c>
      <c r="G28" s="23">
        <f>IF($D28="","",$D28*INDEX('B-Допущения'!$C$25:$G$30,MATCH($C28,'B-Допущения'!$B$25:$B$30,0),3))</f>
        <v>240000</v>
      </c>
      <c r="H28" s="23">
        <f>IF($D28="","",$D28*INDEX('B-Допущения'!$C$25:$G$30,MATCH($C28,'B-Допущения'!$B$25:$B$30,0),4))</f>
        <v>480000</v>
      </c>
      <c r="I28" s="23">
        <f>IF($D28="","",$D28*INDEX('B-Допущения'!$C$25:$G$30,MATCH($C28,'B-Допущения'!$B$25:$B$30,0),5))</f>
        <v>720000</v>
      </c>
      <c r="J28" s="23">
        <f>SUM(E28:I28)</f>
        <v>1524000</v>
      </c>
      <c r="K28" s="24"/>
      <c r="L28" s="25" t="inlineStr">
        <is>
          <t>$0,04 на заказ; допущение модели задания 2.</t>
        </is>
      </c>
    </row>
    <row r="29" ht="15.75" customHeight="1">
      <c r="B29" s="11" t="inlineStr">
        <is>
          <t>Сообщения WhatsApp</t>
        </is>
      </c>
      <c r="C29" s="17" t="inlineStr">
        <is>
          <t>заказы</t>
        </is>
      </c>
      <c r="D29" s="18">
        <v>9000</v>
      </c>
      <c r="E29" s="23">
        <f>IF($D29="","",$D29*INDEX('B-Допущения'!$C$25:$G$30,MATCH($C29,'B-Допущения'!$B$25:$B$30,0),1))</f>
        <v>9000</v>
      </c>
      <c r="F29" s="23">
        <f>IF($D29="","",$D29*INDEX('B-Допущения'!$C$25:$G$30,MATCH($C29,'B-Допущения'!$B$25:$B$30,0),2))</f>
        <v>54000</v>
      </c>
      <c r="G29" s="23">
        <f>IF($D29="","",$D29*INDEX('B-Допущения'!$C$25:$G$30,MATCH($C29,'B-Допущения'!$B$25:$B$30,0),3))</f>
        <v>180000</v>
      </c>
      <c r="H29" s="23">
        <f>IF($D29="","",$D29*INDEX('B-Допущения'!$C$25:$G$30,MATCH($C29,'B-Допущения'!$B$25:$B$30,0),4))</f>
        <v>360000</v>
      </c>
      <c r="I29" s="23">
        <f>IF($D29="","",$D29*INDEX('B-Допущения'!$C$25:$G$30,MATCH($C29,'B-Допущения'!$B$25:$B$30,0),5))</f>
        <v>540000</v>
      </c>
      <c r="J29" s="23">
        <f>SUM(E29:I29)</f>
        <v>1143000</v>
      </c>
      <c r="K29" s="24"/>
      <c r="L29" s="25" t="inlineStr">
        <is>
          <t>$0,03 на заказ; допущение модели задания 2.</t>
        </is>
      </c>
    </row>
    <row r="30" ht="15.75" customHeight="1">
      <c r="B30" s="11" t="inlineStr">
        <is>
          <t>Комиссии за интеграцию с логистическими партнёрами</t>
        </is>
      </c>
      <c r="C30" s="17" t="inlineStr">
        <is>
          <t>заказы</t>
        </is>
      </c>
      <c r="D30" s="18">
        <v>30000</v>
      </c>
      <c r="E30" s="23">
        <f>IF($D30="","",$D30*INDEX('B-Допущения'!$C$25:$G$30,MATCH($C30,'B-Допущения'!$B$25:$B$30,0),1))</f>
        <v>30000</v>
      </c>
      <c r="F30" s="23">
        <f>IF($D30="","",$D30*INDEX('B-Допущения'!$C$25:$G$30,MATCH($C30,'B-Допущения'!$B$25:$B$30,0),2))</f>
        <v>180000</v>
      </c>
      <c r="G30" s="23">
        <f>IF($D30="","",$D30*INDEX('B-Допущения'!$C$25:$G$30,MATCH($C30,'B-Допущения'!$B$25:$B$30,0),3))</f>
        <v>600000</v>
      </c>
      <c r="H30" s="23">
        <f>IF($D30="","",$D30*INDEX('B-Допущения'!$C$25:$G$30,MATCH($C30,'B-Допущения'!$B$25:$B$30,0),4))</f>
        <v>1200000</v>
      </c>
      <c r="I30" s="23">
        <f>IF($D30="","",$D30*INDEX('B-Допущения'!$C$25:$G$30,MATCH($C30,'B-Допущения'!$B$25:$B$30,0),5))</f>
        <v>1800000</v>
      </c>
      <c r="J30" s="23">
        <f>SUM(E30:I30)</f>
        <v>3810000</v>
      </c>
      <c r="K30" s="24"/>
      <c r="L30" s="25" t="inlineStr">
        <is>
          <t>$0,10 на заказ; стоимость курьерской доставки не включена.</t>
        </is>
      </c>
    </row>
    <row r="31" ht="15.75" customHeight="1">
      <c r="B31" s="11" t="inlineStr">
        <is>
          <t/>
        </is>
      </c>
      <c r="C31" s="17" t="inlineStr">
        <is>
          <t>инфляция</t>
        </is>
      </c>
      <c r="D31" s="18"/>
      <c r="E31" s="23">
        <f>IF($D31="","",$D31*INDEX('B-Допущения'!$C$25:$G$30,MATCH($C31,'B-Допущения'!$B$25:$B$30,0),1))</f>
        <v/>
      </c>
      <c r="F31" s="23">
        <f>IF($D31="","",$D31*INDEX('B-Допущения'!$C$25:$G$30,MATCH($C31,'B-Допущения'!$B$25:$B$30,0),2))</f>
        <v/>
      </c>
      <c r="G31" s="23">
        <f>IF($D31="","",$D31*INDEX('B-Допущения'!$C$25:$G$30,MATCH($C31,'B-Допущения'!$B$25:$B$30,0),3))</f>
        <v/>
      </c>
      <c r="H31" s="23">
        <f>IF($D31="","",$D31*INDEX('B-Допущения'!$C$25:$G$30,MATCH($C31,'B-Допущения'!$B$25:$B$30,0),4))</f>
        <v/>
      </c>
      <c r="I31" s="23">
        <f>IF($D31="","",$D31*INDEX('B-Допущения'!$C$25:$G$30,MATCH($C31,'B-Допущения'!$B$25:$B$30,0),5))</f>
        <v/>
      </c>
      <c r="J31" s="23">
        <f>SUM(E31:I31)</f>
        <v>0</v>
      </c>
      <c r="K31" s="24"/>
      <c r="L31" s="25" t="inlineStr">
        <is>
          <t/>
        </is>
      </c>
    </row>
    <row r="32" ht="15.75" customHeight="1">
      <c r="B32" s="26" t="s">
        <v>114</v>
      </c>
      <c r="C32" s="27"/>
      <c r="D32" s="27"/>
      <c r="E32" s="28">
        <f>SUM(E27:E31)</f>
        <v>238500</v>
      </c>
      <c r="F32" s="28">
        <f>SUM(F27:F31)</f>
        <v>1476000</v>
      </c>
      <c r="G32" s="28">
        <f>SUM(G27:G31)</f>
        <v>5070000</v>
      </c>
      <c r="H32" s="28">
        <f>SUM(H27:H31)</f>
        <v>10440000</v>
      </c>
      <c r="I32" s="28">
        <f>SUM(I27:I31)</f>
        <v>16110000</v>
      </c>
      <c r="J32" s="28">
        <f>SUM(E32:I32)</f>
        <v>33334500</v>
      </c>
      <c r="K32" s="29">
        <f>IFERROR(J32/$J$51,0)</f>
        <v>0.742391334267567</v>
      </c>
      <c r="L32" s="27"/>
    </row>
    <row r="33" ht="15.75" customHeight="1">
      <c r="C33" s="30"/>
    </row>
    <row r="34" ht="15.75" customHeight="1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B35" s="11" t="inlineStr">
        <is>
          <t>Разработка (6 специалистов)</t>
        </is>
      </c>
      <c r="C35" s="17" t="inlineStr">
        <is>
          <t>ФОТ</t>
        </is>
      </c>
      <c r="D35" s="18">
        <v>360000</v>
      </c>
      <c r="E35" s="23">
        <f>IF($D35="","",$D35*INDEX('B-Допущения'!$C$25:$G$30,MATCH($C35,'B-Допущения'!$B$25:$B$30,0),1))</f>
        <v>360000</v>
      </c>
      <c r="F35" s="23">
        <f>IF($D35="","",$D35*INDEX('B-Допущения'!$C$25:$G$30,MATCH($C35,'B-Допущения'!$B$25:$B$30,0),2))</f>
        <v>403200</v>
      </c>
      <c r="G35" s="23">
        <f>IF($D35="","",$D35*INDEX('B-Допущения'!$C$25:$G$30,MATCH($C35,'B-Допущения'!$B$25:$B$30,0),3))</f>
        <v>451584</v>
      </c>
      <c r="H35" s="23">
        <f>IF($D35="","",$D35*INDEX('B-Допущения'!$C$25:$G$30,MATCH($C35,'B-Допущения'!$B$25:$B$30,0),4))</f>
        <v>505774.08</v>
      </c>
      <c r="I35" s="23">
        <f>IF($D35="","",$D35*INDEX('B-Допущения'!$C$25:$G$30,MATCH($C35,'B-Допущения'!$B$25:$B$30,0),5))</f>
        <v>566466.9696</v>
      </c>
      <c r="J35" s="23">
        <f>SUM(E35:I35)</f>
        <v>2287025.0496</v>
      </c>
      <c r="K35" s="24"/>
      <c r="L35" s="25" t="inlineStr">
        <is>
          <t>6 × $60 тыс. полной годовой стоимости специалиста.</t>
        </is>
      </c>
    </row>
    <row r="36" ht="15.75" customHeight="1">
      <c r="B36" s="11" t="inlineStr">
        <is>
          <t>Эксплуатация и надёжность (2 специалиста)</t>
        </is>
      </c>
      <c r="C36" s="17" t="inlineStr">
        <is>
          <t>ФОТ</t>
        </is>
      </c>
      <c r="D36" s="18">
        <v>120000</v>
      </c>
      <c r="E36" s="23">
        <f>IF($D36="","",$D36*INDEX('B-Допущения'!$C$25:$G$30,MATCH($C36,'B-Допущения'!$B$25:$B$30,0),1))</f>
        <v>120000</v>
      </c>
      <c r="F36" s="23">
        <f>IF($D36="","",$D36*INDEX('B-Допущения'!$C$25:$G$30,MATCH($C36,'B-Допущения'!$B$25:$B$30,0),2))</f>
        <v>134400</v>
      </c>
      <c r="G36" s="23">
        <f>IF($D36="","",$D36*INDEX('B-Допущения'!$C$25:$G$30,MATCH($C36,'B-Допущения'!$B$25:$B$30,0),3))</f>
        <v>150528</v>
      </c>
      <c r="H36" s="23">
        <f>IF($D36="","",$D36*INDEX('B-Допущения'!$C$25:$G$30,MATCH($C36,'B-Допущения'!$B$25:$B$30,0),4))</f>
        <v>168591.36</v>
      </c>
      <c r="I36" s="23">
        <f>IF($D36="","",$D36*INDEX('B-Допущения'!$C$25:$G$30,MATCH($C36,'B-Допущения'!$B$25:$B$30,0),5))</f>
        <v>188822.3232</v>
      </c>
      <c r="J36" s="23">
        <f>SUM(E36:I36)</f>
        <v>762341.6832</v>
      </c>
      <c r="K36" s="24"/>
      <c r="L36" s="25" t="inlineStr">
        <is>
          <t>2 × $60 тыс. полной годовой стоимости специалиста.</t>
        </is>
      </c>
    </row>
    <row r="37" ht="15.75" customHeight="1">
      <c r="B37" s="11" t="inlineStr">
        <is>
          <t>Поддержка и дежурство</t>
        </is>
      </c>
      <c r="C37" s="17" t="inlineStr">
        <is>
          <t>ФОТ</t>
        </is>
      </c>
      <c r="D37" s="18">
        <v>96000</v>
      </c>
      <c r="E37" s="23">
        <f>IF($D37="","",$D37*INDEX('B-Допущения'!$C$25:$G$30,MATCH($C37,'B-Допущения'!$B$25:$B$30,0),1))</f>
        <v>96000</v>
      </c>
      <c r="F37" s="23">
        <f>IF($D37="","",$D37*INDEX('B-Допущения'!$C$25:$G$30,MATCH($C37,'B-Допущения'!$B$25:$B$30,0),2))</f>
        <v>107520</v>
      </c>
      <c r="G37" s="23">
        <f>IF($D37="","",$D37*INDEX('B-Допущения'!$C$25:$G$30,MATCH($C37,'B-Допущения'!$B$25:$B$30,0),3))</f>
        <v>120422.4</v>
      </c>
      <c r="H37" s="23">
        <f>IF($D37="","",$D37*INDEX('B-Допущения'!$C$25:$G$30,MATCH($C37,'B-Допущения'!$B$25:$B$30,0),4))</f>
        <v>134873.088</v>
      </c>
      <c r="I37" s="23">
        <f>IF($D37="","",$D37*INDEX('B-Допущения'!$C$25:$G$30,MATCH($C37,'B-Допущения'!$B$25:$B$30,0),5))</f>
        <v>151057.85856</v>
      </c>
      <c r="J37" s="23">
        <f>SUM(E37:I37)</f>
        <v>609873.34656</v>
      </c>
      <c r="K37" s="24"/>
      <c r="L37" s="25" t="inlineStr">
        <is>
          <t>Расширенная поддержка распределённой системы.</t>
        </is>
      </c>
    </row>
    <row r="38" ht="15.75" customHeight="1">
      <c r="B38" s="11" t="inlineStr">
        <is>
          <t>Архитектура и управление</t>
        </is>
      </c>
      <c r="C38" s="17" t="inlineStr">
        <is>
          <t>ФОТ</t>
        </is>
      </c>
      <c r="D38" s="18">
        <v>120000</v>
      </c>
      <c r="E38" s="23">
        <f>IF($D38="","",$D38*INDEX('B-Допущения'!$C$25:$G$30,MATCH($C38,'B-Допущения'!$B$25:$B$30,0),1))</f>
        <v>120000</v>
      </c>
      <c r="F38" s="23">
        <f>IF($D38="","",$D38*INDEX('B-Допущения'!$C$25:$G$30,MATCH($C38,'B-Допущения'!$B$25:$B$30,0),2))</f>
        <v>134400</v>
      </c>
      <c r="G38" s="23">
        <f>IF($D38="","",$D38*INDEX('B-Допущения'!$C$25:$G$30,MATCH($C38,'B-Допущения'!$B$25:$B$30,0),3))</f>
        <v>150528</v>
      </c>
      <c r="H38" s="23">
        <f>IF($D38="","",$D38*INDEX('B-Допущения'!$C$25:$G$30,MATCH($C38,'B-Допущения'!$B$25:$B$30,0),4))</f>
        <v>168591.36</v>
      </c>
      <c r="I38" s="23">
        <f>IF($D38="","",$D38*INDEX('B-Допущения'!$C$25:$G$30,MATCH($C38,'B-Допущения'!$B$25:$B$30,0),5))</f>
        <v>188822.3232</v>
      </c>
      <c r="J38" s="23">
        <f>SUM(E38:I38)</f>
        <v>762341.6832</v>
      </c>
      <c r="K38" s="24"/>
      <c r="L38" s="25" t="inlineStr">
        <is>
          <t>Координация архитектуры, продукта и команды.</t>
        </is>
      </c>
    </row>
    <row r="39" ht="15.75" customHeight="1">
      <c r="B39" s="11" t="inlineStr">
        <is>
          <t/>
        </is>
      </c>
      <c r="C39" s="17" t="inlineStr">
        <is>
          <t>инфляция</t>
        </is>
      </c>
      <c r="D39" s="18"/>
      <c r="E39" s="23">
        <f>IF($D39="","",$D39*INDEX('B-Допущения'!$C$25:$G$30,MATCH($C39,'B-Допущения'!$B$25:$B$30,0),1))</f>
        <v/>
      </c>
      <c r="F39" s="23">
        <f>IF($D39="","",$D39*INDEX('B-Допущения'!$C$25:$G$30,MATCH($C39,'B-Допущения'!$B$25:$B$30,0),2))</f>
        <v/>
      </c>
      <c r="G39" s="23">
        <f>IF($D39="","",$D39*INDEX('B-Допущения'!$C$25:$G$30,MATCH($C39,'B-Допущения'!$B$25:$B$30,0),3))</f>
        <v/>
      </c>
      <c r="H39" s="23">
        <f>IF($D39="","",$D39*INDEX('B-Допущения'!$C$25:$G$30,MATCH($C39,'B-Допущения'!$B$25:$B$30,0),4))</f>
        <v/>
      </c>
      <c r="I39" s="23">
        <f>IF($D39="","",$D39*INDEX('B-Допущения'!$C$25:$G$30,MATCH($C39,'B-Допущения'!$B$25:$B$30,0),5))</f>
        <v/>
      </c>
      <c r="J39" s="23">
        <f>SUM(E39:I39)</f>
        <v>0</v>
      </c>
      <c r="K39" s="24"/>
      <c r="L39" s="25" t="inlineStr">
        <is>
          <t/>
        </is>
      </c>
    </row>
    <row r="40" ht="15.75" customHeight="1">
      <c r="B40" s="26" t="s">
        <v>114</v>
      </c>
      <c r="C40" s="27"/>
      <c r="D40" s="27"/>
      <c r="E40" s="28">
        <f>SUM(E35:E39)</f>
        <v>696000</v>
      </c>
      <c r="F40" s="28">
        <f>SUM(F35:F39)</f>
        <v>779520</v>
      </c>
      <c r="G40" s="28">
        <f>SUM(G35:G39)</f>
        <v>873062.4</v>
      </c>
      <c r="H40" s="28">
        <f>SUM(H35:H39)</f>
        <v>977829.888</v>
      </c>
      <c r="I40" s="28">
        <f>SUM(I35:I39)</f>
        <v>1095169.47456</v>
      </c>
      <c r="J40" s="28">
        <f>SUM(E40:I40)</f>
        <v>4421581.76256</v>
      </c>
      <c r="K40" s="29">
        <f>IFERROR(J40/$J$51,0)</f>
        <v>0.0984728729778476</v>
      </c>
      <c r="L40" s="27"/>
    </row>
    <row r="41" ht="15.75" customHeight="1">
      <c r="C41" s="30"/>
    </row>
    <row r="42" ht="15.75" customHeight="1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ht="15.75" customHeight="1">
      <c r="B43" s="11" t="inlineStr">
        <is>
          <t>Юридический аудит и проверка соответствия требованиям</t>
        </is>
      </c>
      <c r="C43" s="17" t="inlineStr">
        <is>
          <t>инфляция</t>
        </is>
      </c>
      <c r="D43" s="18">
        <v>25000</v>
      </c>
      <c r="E43" s="23">
        <f>IF($D43="","",$D43*INDEX('B-Допущения'!$C$25:$G$30,MATCH($C43,'B-Допущения'!$B$25:$B$30,0),1))</f>
        <v>25000</v>
      </c>
      <c r="F43" s="18">
        <v>0</v>
      </c>
      <c r="G43" s="18">
        <v>0</v>
      </c>
      <c r="H43" s="18">
        <v>0</v>
      </c>
      <c r="I43" s="18">
        <v>0</v>
      </c>
      <c r="J43" s="23">
        <f>SUM(E43:I43)</f>
        <v>25000</v>
      </c>
      <c r="K43" s="24"/>
      <c r="L43" s="25" t="inlineStr">
        <is>
          <t>Только первый год; проверка NDPA, POPIA и Закона Кении о защите данных.</t>
        </is>
      </c>
    </row>
    <row r="44" ht="15.75" customHeight="1">
      <c r="B44" s="11" t="inlineStr">
        <is>
          <t>Проверка защищённости и испытание на проникновение</t>
        </is>
      </c>
      <c r="C44" s="17" t="inlineStr">
        <is>
          <t>инфляция</t>
        </is>
      </c>
      <c r="D44" s="18">
        <v>20000</v>
      </c>
      <c r="E44" s="23">
        <f>IF($D44="","",$D44*INDEX('B-Допущения'!$C$25:$G$30,MATCH($C44,'B-Допущения'!$B$25:$B$30,0),1))</f>
        <v>20000</v>
      </c>
      <c r="F44" s="23">
        <f>IF($D44="","",$D44*INDEX('B-Допущения'!$C$25:$G$30,MATCH($C44,'B-Допущения'!$B$25:$B$30,0),2))</f>
        <v>21600</v>
      </c>
      <c r="G44" s="23">
        <f>IF($D44="","",$D44*INDEX('B-Допущения'!$C$25:$G$30,MATCH($C44,'B-Допущения'!$B$25:$B$30,0),3))</f>
        <v>23328</v>
      </c>
      <c r="H44" s="23">
        <f>IF($D44="","",$D44*INDEX('B-Допущения'!$C$25:$G$30,MATCH($C44,'B-Допущения'!$B$25:$B$30,0),4))</f>
        <v>25194.24</v>
      </c>
      <c r="I44" s="23">
        <f>IF($D44="","",$D44*INDEX('B-Допущения'!$C$25:$G$30,MATCH($C44,'B-Допущения'!$B$25:$B$30,0),5))</f>
        <v>27209.7792</v>
      </c>
      <c r="J44" s="23">
        <f>SUM(E44:I44)</f>
        <v>117332.0192</v>
      </c>
      <c r="K44" s="24"/>
      <c r="L44" s="25" t="inlineStr">
        <is>
          <t>Ежегодная проверка распределённой системы.</t>
        </is>
      </c>
    </row>
    <row r="45" ht="15.75" customHeight="1">
      <c r="B45" s="11" t="inlineStr">
        <is>
          <t>Перенос данных и интеграции при запуске</t>
        </is>
      </c>
      <c r="C45" s="17" t="inlineStr">
        <is>
          <t>инфляция</t>
        </is>
      </c>
      <c r="D45" s="18">
        <v>40000</v>
      </c>
      <c r="E45" s="23">
        <f>IF($D45="","",$D45*INDEX('B-Допущения'!$C$25:$G$30,MATCH($C45,'B-Допущения'!$B$25:$B$30,0),1))</f>
        <v>40000</v>
      </c>
      <c r="F45" s="18">
        <v>0</v>
      </c>
      <c r="G45" s="18">
        <v>0</v>
      </c>
      <c r="H45" s="18">
        <v>0</v>
      </c>
      <c r="I45" s="18">
        <v>0</v>
      </c>
      <c r="J45" s="23">
        <f>SUM(E45:I45)</f>
        <v>40000</v>
      </c>
      <c r="K45" s="24"/>
      <c r="L45" s="25" t="inlineStr">
        <is>
          <t>Только первый год.</t>
        </is>
      </c>
    </row>
    <row r="46" ht="15.75" customHeight="1">
      <c r="B46" s="11" t="inlineStr">
        <is>
          <t>Обучение команды</t>
        </is>
      </c>
      <c r="C46" s="17" t="inlineStr">
        <is>
          <t>ФОТ</t>
        </is>
      </c>
      <c r="D46" s="18">
        <v>30000</v>
      </c>
      <c r="E46" s="23">
        <f>IF($D46="","",$D46*INDEX('B-Допущения'!$C$25:$G$30,MATCH($C46,'B-Допущения'!$B$25:$B$30,0),1))</f>
        <v>30000</v>
      </c>
      <c r="F46" s="18">
        <v>0</v>
      </c>
      <c r="G46" s="18">
        <v>0</v>
      </c>
      <c r="H46" s="18">
        <v>0</v>
      </c>
      <c r="I46" s="18">
        <v>0</v>
      </c>
      <c r="J46" s="23">
        <f>SUM(E46:I46)</f>
        <v>30000</v>
      </c>
      <c r="K46" s="24"/>
      <c r="L46" s="25" t="inlineStr">
        <is>
          <t>Только первый год.</t>
        </is>
      </c>
    </row>
    <row r="47" ht="15.75" customHeight="1">
      <c r="B47" s="11" t="inlineStr">
        <is>
          <t/>
        </is>
      </c>
      <c r="C47" s="17" t="inlineStr">
        <is>
          <t>инфляция</t>
        </is>
      </c>
      <c r="D47" s="18"/>
      <c r="E47" s="23">
        <f>IF($D47="","",$D47*INDEX('B-Допущения'!$C$25:$G$30,MATCH($C47,'B-Допущения'!$B$25:$B$30,0),1))</f>
        <v/>
      </c>
      <c r="F47" s="23">
        <f>IF($D47="","",$D47*INDEX('B-Допущения'!$C$25:$G$30,MATCH($C47,'B-Допущения'!$B$25:$B$30,0),2))</f>
        <v/>
      </c>
      <c r="G47" s="23">
        <f>IF($D47="","",$D47*INDEX('B-Допущения'!$C$25:$G$30,MATCH($C47,'B-Допущения'!$B$25:$B$30,0),3))</f>
        <v/>
      </c>
      <c r="H47" s="23">
        <f>IF($D47="","",$D47*INDEX('B-Допущения'!$C$25:$G$30,MATCH($C47,'B-Допущения'!$B$25:$B$30,0),4))</f>
        <v/>
      </c>
      <c r="I47" s="23">
        <f>IF($D47="","",$D47*INDEX('B-Допущения'!$C$25:$G$30,MATCH($C47,'B-Допущения'!$B$25:$B$30,0),5))</f>
        <v/>
      </c>
      <c r="J47" s="23">
        <f>SUM(E47:I47)</f>
        <v>0</v>
      </c>
      <c r="K47" s="24"/>
      <c r="L47" s="25" t="inlineStr">
        <is>
          <t/>
        </is>
      </c>
    </row>
    <row r="48" ht="15.75" customHeight="1">
      <c r="B48" s="26" t="s">
        <v>114</v>
      </c>
      <c r="C48" s="27"/>
      <c r="D48" s="27"/>
      <c r="E48" s="28">
        <f>SUM(E43:E47)</f>
        <v>115000</v>
      </c>
      <c r="F48" s="28">
        <f>SUM(F43:F47)</f>
        <v>21600</v>
      </c>
      <c r="G48" s="28">
        <f>SUM(G43:G47)</f>
        <v>23328</v>
      </c>
      <c r="H48" s="28">
        <f>SUM(H43:H47)</f>
        <v>25194.24</v>
      </c>
      <c r="I48" s="28">
        <f>SUM(I43:I47)</f>
        <v>27209.7792</v>
      </c>
      <c r="J48" s="28">
        <f>SUM(E48:I48)</f>
        <v>212332.0192</v>
      </c>
      <c r="K48" s="29">
        <f>IFERROR(J48/$J$51,0)</f>
        <v>0.00472883802191767</v>
      </c>
      <c r="L48" s="27"/>
    </row>
    <row r="49" ht="15.75" customHeight="1">
      <c r="C49" s="30"/>
    </row>
    <row r="50" ht="15.75" customHeight="1">
      <c r="B50" s="15" t="s">
        <v>153</v>
      </c>
      <c r="C50" s="30"/>
      <c r="E50" s="31">
        <f>(E15+E24+E32+E40+E48)*'B-Допущения'!$C$17</f>
        <v>172125</v>
      </c>
      <c r="F50" s="31">
        <f>(F15+F24+F32+F40+F48)*'B-Допущения'!$C$17</f>
        <v>363473.351300277</v>
      </c>
      <c r="G50" s="31">
        <f>(G15+G24+G32+G40+G48)*'B-Допущения'!$C$17</f>
        <v>926928.505112249</v>
      </c>
      <c r="H50" s="31">
        <f>(H15+H24+H32+H40+H48)*'B-Допущения'!$C$17</f>
        <v>1758777.52515086</v>
      </c>
      <c r="I50" s="31">
        <f>(I15+I24+I32+I40+I48)*'B-Допущения'!$C$17</f>
        <v>2635415.7337909</v>
      </c>
      <c r="J50" s="23">
        <f>SUM(E50:I50)</f>
        <v>5856720.11535428</v>
      </c>
      <c r="L50" s="6" t="s">
        <v>154</v>
      </c>
    </row>
    <row r="51" ht="15.75" customHeight="1">
      <c r="B51" s="26" t="s">
        <v>155</v>
      </c>
      <c r="C51" s="30"/>
      <c r="E51" s="28">
        <f>E15+E24+E32+E40+E48+E50</f>
        <v>1319625</v>
      </c>
      <c r="F51" s="28">
        <f>F15+F24+F32+F40+F48+F50</f>
        <v>2786629.02663546</v>
      </c>
      <c r="G51" s="28">
        <f>G15+G24+G32+G40+G48+G50</f>
        <v>7106451.87252724</v>
      </c>
      <c r="H51" s="28">
        <f>H15+H24+H32+H40+H48+H50</f>
        <v>13483961.0261566</v>
      </c>
      <c r="I51" s="28">
        <f>I15+I24+I32+I40+I48+I50</f>
        <v>20204853.9590636</v>
      </c>
      <c r="J51" s="28">
        <f>SUM(E51:I51)</f>
        <v>44901520.8843828</v>
      </c>
    </row>
    <row r="52" ht="15.75" customHeight="1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ht="15.75" customHeight="1">
      <c r="B53" s="11" t="s">
        <v>157</v>
      </c>
      <c r="E53" s="31">
        <f>(1-'B-Допущения'!$C$20)*525600*'B-Допущения'!$C$19*'B-Допущения'!$C$21</f>
        <v>3153599.99999965</v>
      </c>
      <c r="F53" s="31">
        <f>(1-'B-Допущения'!$C$20)*525600*'B-Допущения'!$C$19*'B-Допущения'!$C$21</f>
        <v>3153599.99999965</v>
      </c>
      <c r="G53" s="31">
        <f>(1-'B-Допущения'!$C$20)*525600*'B-Допущения'!$C$19*'B-Допущения'!$C$21</f>
        <v>3153599.99999965</v>
      </c>
      <c r="H53" s="31">
        <f>(1-'B-Допущения'!$C$20)*525600*'B-Допущения'!$C$19*'B-Допущения'!$C$21</f>
        <v>3153599.99999965</v>
      </c>
      <c r="I53" s="31">
        <f>(1-'B-Допущения'!$C$20)*525600*'B-Допущения'!$C$19*'B-Допущения'!$C$21</f>
        <v>3153599.99999965</v>
      </c>
      <c r="J53" s="23">
        <f>SUM(E53:I53)</f>
        <v>15767999.9999983</v>
      </c>
      <c r="L53" s="13" t="s">
        <v>158</v>
      </c>
    </row>
    <row r="54" ht="15.75" customHeight="1">
      <c r="B54" s="26" t="s">
        <v>159</v>
      </c>
      <c r="E54" s="28">
        <f>E51+E53</f>
        <v>4473224.99999965</v>
      </c>
      <c r="F54" s="28">
        <f>F51+F53</f>
        <v>5940229.02663511</v>
      </c>
      <c r="G54" s="28">
        <f>G51+G53</f>
        <v>10260051.8725269</v>
      </c>
      <c r="H54" s="28">
        <f>H51+H53</f>
        <v>16637561.0261562</v>
      </c>
      <c r="I54" s="28">
        <f>I51+I53</f>
        <v>23358453.9590632</v>
      </c>
      <c r="J54" s="28">
        <f>SUM(E54:I54)</f>
        <v>60669520.8843811</v>
      </c>
    </row>
    <row r="55" ht="15.75" customHeight="1">
      <c r="B55" s="11" t="s">
        <v>160</v>
      </c>
      <c r="E55" s="32">
        <f>1/(1+'B-Допущения'!$C$16)^0</f>
        <v>1</v>
      </c>
      <c r="F55" s="32">
        <f>1/(1+'B-Допущения'!$C$16)^1</f>
        <v>0.833333333333333</v>
      </c>
      <c r="G55" s="32">
        <f>1/(1+'B-Допущения'!$C$16)^2</f>
        <v>0.694444444444444</v>
      </c>
      <c r="H55" s="32">
        <f>1/(1+'B-Допущения'!$C$16)^3</f>
        <v>0.578703703703704</v>
      </c>
      <c r="I55" s="32">
        <f>1/(1+'B-Допущения'!$C$16)^4</f>
        <v>0.482253086419753</v>
      </c>
    </row>
    <row r="56" ht="15.75" customHeight="1">
      <c r="B56" s="26" t="s">
        <v>161</v>
      </c>
      <c r="E56" s="28">
        <f>E54*E55</f>
        <v>4473224.99999965</v>
      </c>
      <c r="F56" s="28">
        <f>F54*F55</f>
        <v>4950190.85552926</v>
      </c>
      <c r="G56" s="28">
        <f>G54*G55</f>
        <v>7125036.02258812</v>
      </c>
      <c r="H56" s="28">
        <f>H54*H55</f>
        <v>9628218.186433</v>
      </c>
      <c r="I56" s="28">
        <f>I54*I55</f>
        <v>11264686.5157519</v>
      </c>
      <c r="J56" s="28">
        <f>SUM(E56:I56)</f>
        <v>37441356.580302</v>
      </c>
    </row>
    <row r="57" ht="15.75" customHeight="1"/>
    <row r="58" ht="15.75" customHeight="1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ht="15.75" customHeight="1">
      <c r="B59" s="15" t="s">
        <v>163</v>
      </c>
      <c r="E59" s="33">
        <f>J51</f>
        <v>44901520.8843828</v>
      </c>
      <c r="F59" s="34"/>
      <c r="L59" s="13" t="s">
        <v>164</v>
      </c>
    </row>
    <row r="60" ht="15.75" customHeight="1">
      <c r="B60" s="15" t="s">
        <v>165</v>
      </c>
      <c r="E60" s="33">
        <f>J54</f>
        <v>60669520.8843811</v>
      </c>
      <c r="F60" s="34"/>
      <c r="L60" s="13" t="s">
        <v>166</v>
      </c>
    </row>
    <row r="61" ht="15.75" customHeight="1">
      <c r="B61" s="15" t="s">
        <v>167</v>
      </c>
      <c r="E61" s="33">
        <f>J56</f>
        <v>37441356.580302</v>
      </c>
      <c r="F61" s="34"/>
      <c r="L61" s="13" t="s">
        <v>168</v>
      </c>
    </row>
    <row r="62" ht="15.75" customHeight="1">
      <c r="B62" s="15" t="s">
        <v>169</v>
      </c>
      <c r="E62" s="33">
        <f>J51/5</f>
        <v>8980304.17687657</v>
      </c>
      <c r="F62" s="34"/>
      <c r="L62" s="13" t="s">
        <v>170</v>
      </c>
    </row>
    <row r="63" ht="15.75" customHeight="1">
      <c r="B63" s="15" t="s">
        <v>171</v>
      </c>
      <c r="E63" s="33">
        <f>E15/12</f>
        <v>6666.66666666667</v>
      </c>
      <c r="F63" s="34"/>
      <c r="L63" s="13" t="s">
        <v>172</v>
      </c>
    </row>
    <row r="64" ht="15.75" customHeight="1">
      <c r="B64" s="15" t="s">
        <v>173</v>
      </c>
      <c r="E64" s="35" t="str">
        <f>IF(E15/12&lt;='B-Допущения'!$C$18,"В бюджете CFO","ПРЕВЫШЕНИЕ бюджета")</f>
        <v>ПРЕВЫШЕНИЕ бюджета</v>
      </c>
      <c r="F64" s="34"/>
      <c r="L64" s="13" t="s">
        <v>174</v>
      </c>
    </row>
    <row r="65" ht="15.75" customHeight="1">
      <c r="B65" s="15" t="s">
        <v>175</v>
      </c>
      <c r="E65" s="36">
        <f>IFERROR(J51/SUM('B-Допущения'!$C$8:$G$8),0)</f>
        <v>1.17851760851399</v>
      </c>
      <c r="F65" s="34"/>
      <c r="L65" s="13" t="s">
        <v>176</v>
      </c>
    </row>
    <row r="66" ht="15.75" customHeight="1">
      <c r="B66" s="15" t="s">
        <v>177</v>
      </c>
      <c r="E66" s="36">
        <f>IFERROR(I51/'B-Допущения'!$G$7,0)</f>
        <v>2.02048539590636</v>
      </c>
      <c r="F66" s="34"/>
      <c r="L66" s="13" t="s">
        <v>178</v>
      </c>
    </row>
    <row r="67" ht="15.75" customHeight="1">
      <c r="B67" s="15" t="s">
        <v>179</v>
      </c>
      <c r="E67" s="37">
        <f>IFERROR(J51/SUM('B-Допущения'!$C$10:$G$10),0)</f>
        <v>0.0417960726839643</v>
      </c>
      <c r="F67" s="34"/>
      <c r="L67" s="13" t="s">
        <v>180</v>
      </c>
    </row>
    <row r="68" ht="15.75" customHeight="1">
      <c r="B68" s="15" t="s">
        <v>181</v>
      </c>
      <c r="E68" s="38">
        <f>IFERROR(J15/J51,0)</f>
        <v>0.0204563331712167</v>
      </c>
      <c r="F68" s="34"/>
      <c r="L68" s="13" t="s">
        <v>182</v>
      </c>
    </row>
    <row r="69" ht="15.75" customHeight="1">
      <c r="B69" s="15" t="s">
        <v>183</v>
      </c>
      <c r="E69" s="38">
        <f>IFERROR(J32/J51,0)</f>
        <v>0.742391334267567</v>
      </c>
      <c r="F69" s="34"/>
      <c r="L69" s="13" t="s">
        <v>184</v>
      </c>
    </row>
    <row r="70" ht="15.75" customHeight="1">
      <c r="B70" s="15" t="s">
        <v>185</v>
      </c>
      <c r="E70" s="38">
        <f>IFERROR(J40/J51,0)</f>
        <v>0.0984728729778476</v>
      </c>
      <c r="F70" s="34"/>
      <c r="L70" s="13" t="s">
        <v>186</v>
      </c>
    </row>
    <row r="71" ht="15.75" customHeight="1"/>
    <row r="72" ht="15.75" customHeight="1">
      <c r="B72" s="39" t="s">
        <v>187</v>
      </c>
    </row>
    <row r="73" ht="15.0" customHeight="1">
      <c r="B73" s="40" t="inlineStr">
        <is>
          <t>Укрупнённые сервисы: прямые совокупные затраты за пять лет — $44,90 млн, регулярные технологические расходы — около $8 167 в месяц. Вариант превышает лимит $5 000 и требует 8–10 человек, поэтому рассматривается как этап развития после запуска первой версии продукта.</t>
        </is>
      </c>
      <c r="C73" s="41"/>
      <c r="D73" s="41"/>
      <c r="E73" s="41"/>
      <c r="F73" s="41"/>
      <c r="G73" s="41"/>
      <c r="H73" s="41"/>
      <c r="I73" s="41"/>
      <c r="J73" s="41"/>
      <c r="K73" s="41"/>
      <c r="L73" s="42"/>
    </row>
    <row r="74" ht="15.75" customHeight="1">
      <c r="B74" s="43"/>
      <c r="L74" s="44"/>
    </row>
    <row r="75" ht="15.75" customHeight="1">
      <c r="B75" s="45"/>
      <c r="C75" s="46"/>
      <c r="D75" s="46"/>
      <c r="E75" s="46"/>
      <c r="F75" s="46"/>
      <c r="G75" s="46"/>
      <c r="H75" s="46"/>
      <c r="I75" s="46"/>
      <c r="J75" s="46"/>
      <c r="K75" s="46"/>
      <c r="L75" s="47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6:F66"/>
    <mergeCell ref="E67:F67"/>
    <mergeCell ref="E68:F68"/>
    <mergeCell ref="E69:F69"/>
    <mergeCell ref="E70:F70"/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</mergeCells>
  <dataValidations>
    <dataValidation type="list" allowBlank="1" sqref="C6:C51">
      <formula1>"мощность,нагрузка заказов,инфляция,ФОТ,заказы,оборот (GMV)"</formula1>
    </dataValidation>
  </dataValidations>
  <printOptions/>
  <pageMargins bottom="1.0" footer="0.0" header="0.0" left="0.75" right="0.75" top="1.0"/>
  <pageSetup paperSize="9" orientation="portrait"/>
</worksheet>
</file>

<file path=xl/worksheets/sheet6.xml><?xml version="1.0" encoding="utf-8"?>
<worksheet xmlns="http://schemas.openxmlformats.org/spreadsheetm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7" width="15.0"/>
    <col customWidth="1" min="8" max="8" width="52.0"/>
    <col customWidth="1" min="9" max="26" width="8.71"/>
  </cols>
  <sheetData>
    <row r="2">
      <c r="B2" s="1" t="s">
        <v>2</v>
      </c>
    </row>
    <row r="3">
      <c r="B3" s="6" t="s">
        <v>4</v>
      </c>
    </row>
    <row r="5">
      <c r="B5" s="7" t="s">
        <v>15</v>
      </c>
      <c r="C5" s="8"/>
      <c r="D5" s="8"/>
      <c r="E5" s="8"/>
      <c r="F5" s="8"/>
      <c r="G5" s="8"/>
      <c r="H5" s="8"/>
    </row>
    <row r="6">
      <c r="B6" s="9" t="s">
        <v>34</v>
      </c>
      <c r="C6" s="9" t="s">
        <v>42</v>
      </c>
      <c r="D6" s="9" t="s">
        <v>44</v>
      </c>
      <c r="E6" s="9" t="s">
        <v>46</v>
      </c>
      <c r="F6" s="9" t="s">
        <v>47</v>
      </c>
      <c r="G6" s="9" t="s">
        <v>48</v>
      </c>
      <c r="H6" s="9" t="s">
        <v>50</v>
      </c>
    </row>
    <row r="7">
      <c r="B7" s="11" t="s">
        <v>53</v>
      </c>
      <c r="C7" s="12">
        <v>1000000</v>
      </c>
      <c r="D7" s="12">
        <v>2000000</v>
      </c>
      <c r="E7" s="12">
        <v>4000000</v>
      </c>
      <c r="F7" s="12">
        <v>7000000</v>
      </c>
      <c r="G7" s="12">
        <v>10000000</v>
      </c>
      <c r="H7" s="13" t="inlineStr">
        <is>
          <t>Цель кейса: 1 млн активных пользователей в первый год; расчётный сценарий — 10 млн.</t>
        </is>
      </c>
    </row>
    <row r="8">
      <c r="B8" s="11" t="s">
        <v>55</v>
      </c>
      <c r="C8" s="12">
        <v>300000</v>
      </c>
      <c r="D8" s="12">
        <v>1800000</v>
      </c>
      <c r="E8" s="12">
        <v>6000000</v>
      </c>
      <c r="F8" s="12">
        <v>12000000</v>
      </c>
      <c r="G8" s="12">
        <v>18000000</v>
      </c>
      <c r="H8" s="13" t="inlineStr">
        <is>
          <t>От 300 тыс. до 18 млн заказов в год; единый сценарий спроса для всех вариантов.</t>
        </is>
      </c>
    </row>
    <row r="9">
      <c r="B9" s="11" t="s">
        <v>57</v>
      </c>
      <c r="C9" s="14">
        <v>25</v>
      </c>
      <c r="D9" s="14">
        <v>26</v>
      </c>
      <c r="E9" s="14">
        <v>27</v>
      </c>
      <c r="F9" s="14">
        <v>28</v>
      </c>
      <c r="G9" s="14">
        <v>29</v>
      </c>
      <c r="H9" s="13" t="inlineStr">
        <is>
          <t>Плановая оценка среднего чека; доллары США 2026 года; точность ±30%.</t>
        </is>
      </c>
    </row>
    <row r="10">
      <c r="B10" s="15" t="s">
        <v>59</v>
      </c>
      <c r="C10" s="16">
        <f>C8*C9</f>
        <v>7500000</v>
      </c>
      <c r="D10" s="16">
        <f>D8*D9</f>
        <v>46800000</v>
      </c>
      <c r="E10" s="16">
        <f>E8*E9</f>
        <v>162000000</v>
      </c>
      <c r="F10" s="16">
        <f>F8*F9</f>
        <v>336000000</v>
      </c>
      <c r="G10" s="16">
        <f>G8*G9</f>
        <v>522000000</v>
      </c>
      <c r="H10" s="13" t="inlineStr">
        <is>
          <t>Расчёт: число заказов за год × средний чек.</t>
        </is>
      </c>
    </row>
    <row r="12">
      <c r="B12" s="7" t="s">
        <v>66</v>
      </c>
      <c r="C12" s="8"/>
      <c r="D12" s="8"/>
      <c r="E12" s="8"/>
      <c r="F12" s="8"/>
      <c r="G12" s="8"/>
      <c r="H12" s="8"/>
    </row>
    <row r="13">
      <c r="B13" s="9" t="s">
        <v>67</v>
      </c>
      <c r="C13" s="9" t="s">
        <v>68</v>
      </c>
      <c r="D13" s="9"/>
      <c r="E13" s="9"/>
      <c r="F13" s="9"/>
      <c r="G13" s="9"/>
      <c r="H13" s="9" t="s">
        <v>50</v>
      </c>
    </row>
    <row r="14">
      <c r="B14" s="11" t="s">
        <v>69</v>
      </c>
      <c r="C14" s="19">
        <v>0.08</v>
      </c>
      <c r="H14" s="13" t="inlineStr">
        <is>
          <t>Плановое допущение из модели задания 2; применяется к затратам, растущим с инфляцией.</t>
        </is>
      </c>
    </row>
    <row r="15">
      <c r="B15" s="11" t="s">
        <v>71</v>
      </c>
      <c r="C15" s="19">
        <v>0.12</v>
      </c>
      <c r="H15" s="13" t="inlineStr">
        <is>
          <t>Плановое допущение из модели задания 2; применяется к фонду оплаты труда.</t>
        </is>
      </c>
    </row>
    <row r="16">
      <c r="B16" s="11" t="s">
        <v>73</v>
      </c>
      <c r="C16" s="19">
        <v>0.2</v>
      </c>
      <c r="H16" s="13" t="inlineStr">
        <is>
          <t>Ставка дисконтирования для стартапа с высоким уровнем риска.</t>
        </is>
      </c>
    </row>
    <row r="17">
      <c r="B17" s="11" t="s">
        <v>75</v>
      </c>
      <c r="C17" s="19">
        <v>0.15</v>
      </c>
      <c r="H17" s="13" t="inlineStr">
        <is>
          <t>Резерв начисляется на сумму блоков 1–5.</t>
        </is>
      </c>
    </row>
    <row r="18">
      <c r="B18" s="11" t="s">
        <v>77</v>
      </c>
      <c r="C18" s="18">
        <v>5000</v>
      </c>
      <c r="H18" s="13" t="inlineStr">
        <is>
          <t>Письмо финансового директора, п. 1: жёсткий лимит $5 000 в месяц.</t>
        </is>
      </c>
    </row>
    <row r="19">
      <c r="B19" s="11" t="s">
        <v>79</v>
      </c>
      <c r="C19" s="18">
        <v>12000</v>
      </c>
      <c r="H19" s="13" t="inlineStr">
        <is>
          <t>Оценка инвестора; используется для анализа чувствительности, а не как подтверждённый ожидаемый ущерб.</t>
        </is>
      </c>
    </row>
    <row r="20">
      <c r="B20" s="11" t="s">
        <v>81</v>
      </c>
      <c r="C20" s="20">
        <v>0.9999</v>
      </c>
      <c r="H20" s="13" t="inlineStr">
        <is>
          <t>Целевой показатель технического директора — 99,99%; используется для оценки потерь от простоя, а не как подтверждённый сквозной уровень обслуживания.</t>
        </is>
      </c>
    </row>
    <row r="21" ht="15.75" customHeight="1">
      <c r="B21" s="11" t="s">
        <v>83</v>
      </c>
      <c r="C21" s="21">
        <v>1</v>
      </c>
      <c r="H21" s="13" t="inlineStr">
        <is>
          <t>Значение 1 сохраняет оценку потерь от простоя отдельно от прямых затрат.</t>
        </is>
      </c>
    </row>
    <row r="22" ht="15.75" customHeight="1"/>
    <row r="23" ht="15.75" customHeight="1">
      <c r="B23" s="7" t="s">
        <v>85</v>
      </c>
      <c r="C23" s="8"/>
      <c r="D23" s="8"/>
      <c r="E23" s="8"/>
      <c r="F23" s="8"/>
      <c r="G23" s="8"/>
      <c r="H23" s="8"/>
    </row>
    <row r="24" ht="15.75" customHeight="1">
      <c r="B24" s="9" t="s">
        <v>86</v>
      </c>
      <c r="C24" s="9" t="s">
        <v>42</v>
      </c>
      <c r="D24" s="9" t="s">
        <v>44</v>
      </c>
      <c r="E24" s="9" t="s">
        <v>46</v>
      </c>
      <c r="F24" s="9" t="s">
        <v>47</v>
      </c>
      <c r="G24" s="9" t="s">
        <v>48</v>
      </c>
      <c r="H24" s="9" t="s">
        <v>87</v>
      </c>
    </row>
    <row r="25" ht="15.75" customHeight="1">
      <c r="B25" s="11" t="inlineStr">
        <is>
          <t>мощность</t>
        </is>
      </c>
      <c r="C25" s="22">
        <f>SQRT(C7/$C$7)</f>
        <v>1</v>
      </c>
      <c r="D25" s="22">
        <f>SQRT(D7/$C$7)</f>
        <v>1.4142135623731</v>
      </c>
      <c r="E25" s="22">
        <f>SQRT(E7/$C$7)</f>
        <v>2</v>
      </c>
      <c r="F25" s="22">
        <f>SQRT(F7/$C$7)</f>
        <v>2.64575131106459</v>
      </c>
      <c r="G25" s="22">
        <f>SQRT(G7/$C$7)</f>
        <v>3.16227766016838</v>
      </c>
      <c r="H25" s="13" t="inlineStr">
        <is>
          <t>Квадратный корень из роста активных пользователей; учитывает экономию от масштаба инфраструктуры.</t>
        </is>
      </c>
    </row>
    <row r="26" ht="15.75" customHeight="1">
      <c r="B26" s="11" t="inlineStr">
        <is>
          <t>нагрузка заказов</t>
        </is>
      </c>
      <c r="C26" s="22">
        <f>SQRT(C8/$C$8)</f>
        <v>1</v>
      </c>
      <c r="D26" s="22">
        <f>SQRT(D8/$C$8)</f>
        <v>2.44948974278318</v>
      </c>
      <c r="E26" s="22">
        <f>SQRT(E8/$C$8)</f>
        <v>4.47213595499958</v>
      </c>
      <c r="F26" s="22">
        <f>SQRT(F8/$C$8)</f>
        <v>6.32455532033676</v>
      </c>
      <c r="G26" s="22">
        <f>SQRT(G8/$C$8)</f>
        <v>7.74596669241483</v>
      </c>
      <c r="H26" s="13" t="inlineStr">
        <is>
          <t>Квадратный корень из роста числа заказов; применяется к трафику и асинхронной обработке.</t>
        </is>
      </c>
    </row>
    <row r="27" ht="15.75" customHeight="1">
      <c r="B27" s="11" t="inlineStr">
        <is>
          <t>инфляция</t>
        </is>
      </c>
      <c r="C27" s="22">
        <f>1</f>
        <v>1</v>
      </c>
      <c r="D27" s="22">
        <f>C27*(1+$C$14)</f>
        <v>1.08</v>
      </c>
      <c r="E27" s="22">
        <f>D27*(1+$C$14)</f>
        <v>1.1664</v>
      </c>
      <c r="F27" s="22">
        <f>E27*(1+$C$14)</f>
        <v>1.259712</v>
      </c>
      <c r="G27" s="22">
        <f>F27*(1+$C$14)</f>
        <v>1.36048896</v>
      </c>
      <c r="H27" s="13" t="inlineStr">
        <is>
          <t>Год N = предыдущий год × (1 + инфляция затрат).</t>
        </is>
      </c>
    </row>
    <row r="28" ht="15.75" customHeight="1">
      <c r="B28" s="11" t="inlineStr">
        <is>
          <t>ФОТ</t>
        </is>
      </c>
      <c r="C28" s="22">
        <f>1</f>
        <v>1</v>
      </c>
      <c r="D28" s="22">
        <f>C28*(1+$C$15)</f>
        <v>1.12</v>
      </c>
      <c r="E28" s="22">
        <f>D28*(1+$C$15)</f>
        <v>1.2544</v>
      </c>
      <c r="F28" s="22">
        <f>E28*(1+$C$15)</f>
        <v>1.404928</v>
      </c>
      <c r="G28" s="22">
        <f>F28*(1+$C$15)</f>
        <v>1.57351936</v>
      </c>
      <c r="H28" s="13" t="inlineStr">
        <is>
          <t>Год N = предыдущий год × (1 + рост ФОТ).</t>
        </is>
      </c>
    </row>
    <row r="29" ht="15.75" customHeight="1">
      <c r="B29" s="11" t="inlineStr">
        <is>
          <t>заказы</t>
        </is>
      </c>
      <c r="C29" s="22">
        <f>C8/$C$8</f>
        <v>1</v>
      </c>
      <c r="D29" s="22">
        <f>D8/$C$8</f>
        <v>6</v>
      </c>
      <c r="E29" s="22">
        <f>E8/$C$8</f>
        <v>20</v>
      </c>
      <c r="F29" s="22">
        <f>F8/$C$8</f>
        <v>40</v>
      </c>
      <c r="G29" s="22">
        <f>G8/$C$8</f>
        <v>60</v>
      </c>
      <c r="H29" s="13" t="inlineStr">
        <is>
          <t>Линейная зависимость от числа заказов для поштучно тарифицируемых услуг партнёров.</t>
        </is>
      </c>
    </row>
    <row r="30" ht="15.75" customHeight="1">
      <c r="B30" s="11" t="inlineStr">
        <is>
          <t>оборот (GMV)</t>
        </is>
      </c>
      <c r="C30" s="22">
        <f>C10/$C$10</f>
        <v>1</v>
      </c>
      <c r="D30" s="22">
        <f>D10/$C$10</f>
        <v>6.24</v>
      </c>
      <c r="E30" s="22">
        <f>E10/$C$10</f>
        <v>21.6</v>
      </c>
      <c r="F30" s="22">
        <f>F10/$C$10</f>
        <v>44.8</v>
      </c>
      <c r="G30" s="22">
        <f>G10/$C$10</f>
        <v>69.6</v>
      </c>
      <c r="H30" s="13" t="inlineStr">
        <is>
          <t>Линейная зависимость комиссий платёжных провайдеров от оборота.</t>
        </is>
      </c>
    </row>
    <row r="31" ht="15.75" customHeight="1"/>
    <row r="32" ht="15.0" customHeight="1">
      <c r="B32" s="13" t="inlineStr">
        <is>
          <t>Заданные показатели мощности растут пропорционально квадратному корню из нагрузки и учитывают экономию от масштаба; транзакционные расходы растут линейно с числом заказов или оборотом.</t>
        </is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2:H33"/>
  </mergeCells>
  <printOptions/>
  <pageMargins bottom="1.0" footer="0.0" header="0.0" left="0.75" right="0.75" top="1.0"/>
  <pageSetup paperSize="9" orientation="portrait"/>
</worksheet>
</file>

<file path=xl/worksheets/sheet7.xml><?xml version="1.0" encoding="utf-8"?>
<worksheet xmlns="http://schemas.openxmlformats.org/spreadsheetm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44.0"/>
    <col customWidth="1" min="3" max="3" width="16.0"/>
    <col customWidth="1" min="4" max="4" width="15.0"/>
    <col customWidth="1" min="5" max="10" width="14.0"/>
    <col customWidth="1" min="11" max="11" width="10.0"/>
    <col customWidth="1" min="12" max="12" width="46.0"/>
    <col customWidth="1" min="13" max="26" width="8.71"/>
  </cols>
  <sheetData>
    <row r="2">
      <c r="B2" s="1" t="s">
        <v>1</v>
      </c>
    </row>
    <row r="3">
      <c r="B3" s="6" t="s">
        <v>5</v>
      </c>
    </row>
    <row r="5" ht="31.5" customHeight="1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B7" s="11" t="inlineStr">
        <is>
          <t>Рабочие узлы Kubernetes</t>
        </is>
      </c>
      <c r="C7" s="17" t="inlineStr">
        <is>
          <t>мощность</t>
        </is>
      </c>
      <c r="D7" s="18">
        <v>120000</v>
      </c>
      <c r="E7" s="23">
        <f>IF($D7="","",$D7*INDEX('C-Допущения'!$C$25:$G$30,MATCH($C7,'C-Допущения'!$B$25:$B$30,0),1))</f>
        <v>120000</v>
      </c>
      <c r="F7" s="23">
        <f>IF($D7="","",$D7*INDEX('C-Допущения'!$C$25:$G$30,MATCH($C7,'C-Допущения'!$B$25:$B$30,0),2))</f>
        <v>169705.627484771</v>
      </c>
      <c r="G7" s="23">
        <f>IF($D7="","",$D7*INDEX('C-Допущения'!$C$25:$G$30,MATCH($C7,'C-Допущения'!$B$25:$B$30,0),3))</f>
        <v>240000</v>
      </c>
      <c r="H7" s="23">
        <f>IF($D7="","",$D7*INDEX('C-Допущения'!$C$25:$G$30,MATCH($C7,'C-Допущения'!$B$25:$B$30,0),4))</f>
        <v>317490.157327751</v>
      </c>
      <c r="I7" s="23">
        <f>IF($D7="","",$D7*INDEX('C-Допущения'!$C$25:$G$30,MATCH($C7,'C-Допущения'!$B$25:$B$30,0),5))</f>
        <v>379473.319220206</v>
      </c>
      <c r="J7" s="23">
        <f>SUM(E7:I7)</f>
        <v>1226669.10403273</v>
      </c>
      <c r="K7" s="24"/>
      <c r="L7" s="25" t="inlineStr">
        <is>
          <t>Три кластера и несколько облачных провайдеров по предложению технического директора.</t>
        </is>
      </c>
    </row>
    <row r="8">
      <c r="B8" s="11" t="inlineStr">
        <is>
          <t>Платформа Oracle и вычислительные ресурсы СУБД</t>
        </is>
      </c>
      <c r="C8" s="17" t="inlineStr">
        <is>
          <t>мощность</t>
        </is>
      </c>
      <c r="D8" s="18">
        <v>96000</v>
      </c>
      <c r="E8" s="23">
        <f>IF($D8="","",$D8*INDEX('C-Допущения'!$C$25:$G$30,MATCH($C8,'C-Допущения'!$B$25:$B$30,0),1))</f>
        <v>96000</v>
      </c>
      <c r="F8" s="23">
        <f>IF($D8="","",$D8*INDEX('C-Допущения'!$C$25:$G$30,MATCH($C8,'C-Допущения'!$B$25:$B$30,0),2))</f>
        <v>135764.501987817</v>
      </c>
      <c r="G8" s="23">
        <f>IF($D8="","",$D8*INDEX('C-Допущения'!$C$25:$G$30,MATCH($C8,'C-Допущения'!$B$25:$B$30,0),3))</f>
        <v>192000</v>
      </c>
      <c r="H8" s="23">
        <f>IF($D8="","",$D8*INDEX('C-Допущения'!$C$25:$G$30,MATCH($C8,'C-Допущения'!$B$25:$B$30,0),4))</f>
        <v>253992.125862201</v>
      </c>
      <c r="I8" s="23">
        <f>IF($D8="","",$D8*INDEX('C-Допущения'!$C$25:$G$30,MATCH($C8,'C-Допущения'!$B$25:$B$30,0),5))</f>
        <v>303578.655376164</v>
      </c>
      <c r="J8" s="23">
        <f>SUM(E8:I8)</f>
        <v>981335.283226182</v>
      </c>
      <c r="K8" s="24"/>
      <c r="L8" s="25" t="inlineStr">
        <is>
          <t>Резерв на самостоятельно эксплуатируемое транзакционное ядро.</t>
        </is>
      </c>
    </row>
    <row r="9">
      <c r="B9" s="11" t="inlineStr">
        <is>
          <t>Объектное хранилище и резервные копии</t>
        </is>
      </c>
      <c r="C9" s="17" t="inlineStr">
        <is>
          <t>мощность</t>
        </is>
      </c>
      <c r="D9" s="18">
        <v>18000</v>
      </c>
      <c r="E9" s="23">
        <f>IF($D9="","",$D9*INDEX('C-Допущения'!$C$25:$G$30,MATCH($C9,'C-Допущения'!$B$25:$B$30,0),1))</f>
        <v>18000</v>
      </c>
      <c r="F9" s="23">
        <f>IF($D9="","",$D9*INDEX('C-Допущения'!$C$25:$G$30,MATCH($C9,'C-Допущения'!$B$25:$B$30,0),2))</f>
        <v>25455.8441227157</v>
      </c>
      <c r="G9" s="23">
        <f>IF($D9="","",$D9*INDEX('C-Допущения'!$C$25:$G$30,MATCH($C9,'C-Допущения'!$B$25:$B$30,0),3))</f>
        <v>36000</v>
      </c>
      <c r="H9" s="23">
        <f>IF($D9="","",$D9*INDEX('C-Допущения'!$C$25:$G$30,MATCH($C9,'C-Допущения'!$B$25:$B$30,0),4))</f>
        <v>47623.5235991626</v>
      </c>
      <c r="I9" s="23">
        <f>IF($D9="","",$D9*INDEX('C-Допущения'!$C$25:$G$30,MATCH($C9,'C-Допущения'!$B$25:$B$30,0),5))</f>
        <v>56920.9978830308</v>
      </c>
      <c r="J9" s="23">
        <f>SUM(E9:I9)</f>
        <v>184000.365604909</v>
      </c>
      <c r="K9" s="24"/>
      <c r="L9" s="25" t="inlineStr">
        <is>
          <t>Резервные копии для нескольких кластеров.</t>
        </is>
      </c>
    </row>
    <row r="10">
      <c r="B10" s="11" t="inlineStr">
        <is>
          <t>Сеть доставки содержимого (CDN) и исходящий трафик</t>
        </is>
      </c>
      <c r="C10" s="17" t="inlineStr">
        <is>
          <t>нагрузка заказов</t>
        </is>
      </c>
      <c r="D10" s="18">
        <v>12000</v>
      </c>
      <c r="E10" s="23">
        <f>IF($D10="","",$D10*INDEX('C-Допущения'!$C$25:$G$30,MATCH($C10,'C-Допущения'!$B$25:$B$30,0),1))</f>
        <v>12000</v>
      </c>
      <c r="F10" s="23">
        <f>IF($D10="","",$D10*INDEX('C-Допущения'!$C$25:$G$30,MATCH($C10,'C-Допущения'!$B$25:$B$30,0),2))</f>
        <v>29393.8769133981</v>
      </c>
      <c r="G10" s="23">
        <f>IF($D10="","",$D10*INDEX('C-Допущения'!$C$25:$G$30,MATCH($C10,'C-Допущения'!$B$25:$B$30,0),3))</f>
        <v>53665.631459995</v>
      </c>
      <c r="H10" s="23">
        <f>IF($D10="","",$D10*INDEX('C-Допущения'!$C$25:$G$30,MATCH($C10,'C-Допущения'!$B$25:$B$30,0),4))</f>
        <v>75894.6638440411</v>
      </c>
      <c r="I10" s="23">
        <f>IF($D10="","",$D10*INDEX('C-Допущения'!$C$25:$G$30,MATCH($C10,'C-Допущения'!$B$25:$B$30,0),5))</f>
        <v>92951.600308978</v>
      </c>
      <c r="J10" s="23">
        <f>SUM(E10:I10)</f>
        <v>263905.772526412</v>
      </c>
      <c r="K10" s="24"/>
      <c r="L10" s="25" t="inlineStr">
        <is>
          <t>Мобильные изображения и межрегиональный исходящий трафик.</t>
        </is>
      </c>
    </row>
    <row r="11">
      <c r="B11" s="11" t="inlineStr">
        <is>
          <t>Самостоятельно эксплуатируемый кластер Apache Kafka</t>
        </is>
      </c>
      <c r="C11" s="17" t="inlineStr">
        <is>
          <t>мощность</t>
        </is>
      </c>
      <c r="D11" s="18">
        <v>48000</v>
      </c>
      <c r="E11" s="23">
        <f>IF($D11="","",$D11*INDEX('C-Допущения'!$C$25:$G$30,MATCH($C11,'C-Допущения'!$B$25:$B$30,0),1))</f>
        <v>48000</v>
      </c>
      <c r="F11" s="23">
        <f>IF($D11="","",$D11*INDEX('C-Допущения'!$C$25:$G$30,MATCH($C11,'C-Допущения'!$B$25:$B$30,0),2))</f>
        <v>67882.2509939086</v>
      </c>
      <c r="G11" s="23">
        <f>IF($D11="","",$D11*INDEX('C-Допущения'!$C$25:$G$30,MATCH($C11,'C-Допущения'!$B$25:$B$30,0),3))</f>
        <v>96000</v>
      </c>
      <c r="H11" s="23">
        <f>IF($D11="","",$D11*INDEX('C-Допущения'!$C$25:$G$30,MATCH($C11,'C-Допущения'!$B$25:$B$30,0),4))</f>
        <v>126996.0629311</v>
      </c>
      <c r="I11" s="23">
        <f>IF($D11="","",$D11*INDEX('C-Допущения'!$C$25:$G$30,MATCH($C11,'C-Допущения'!$B$25:$B$30,0),5))</f>
        <v>151789.327688082</v>
      </c>
      <c r="J11" s="23">
        <f>SUM(E11:I11)</f>
        <v>490667.641613091</v>
      </c>
      <c r="K11" s="24"/>
      <c r="L11" s="25" t="inlineStr">
        <is>
          <t>Вычислительные ресурсы и хранилище кластера Kafka.</t>
        </is>
      </c>
    </row>
    <row r="12">
      <c r="B12" s="11" t="inlineStr">
        <is>
          <t>Резервирование «активный — активный»</t>
        </is>
      </c>
      <c r="C12" s="17" t="inlineStr">
        <is>
          <t>мощность</t>
        </is>
      </c>
      <c r="D12" s="18">
        <v>120000</v>
      </c>
      <c r="E12" s="23">
        <f>IF($D12="","",$D12*INDEX('C-Допущения'!$C$25:$G$30,MATCH($C12,'C-Допущения'!$B$25:$B$30,0),1))</f>
        <v>120000</v>
      </c>
      <c r="F12" s="23">
        <f>IF($D12="","",$D12*INDEX('C-Допущения'!$C$25:$G$30,MATCH($C12,'C-Допущения'!$B$25:$B$30,0),2))</f>
        <v>169705.627484771</v>
      </c>
      <c r="G12" s="23">
        <f>IF($D12="","",$D12*INDEX('C-Допущения'!$C$25:$G$30,MATCH($C12,'C-Допущения'!$B$25:$B$30,0),3))</f>
        <v>240000</v>
      </c>
      <c r="H12" s="23">
        <f>IF($D12="","",$D12*INDEX('C-Допущения'!$C$25:$G$30,MATCH($C12,'C-Допущения'!$B$25:$B$30,0),4))</f>
        <v>317490.157327751</v>
      </c>
      <c r="I12" s="23">
        <f>IF($D12="","",$D12*INDEX('C-Допущения'!$C$25:$G$30,MATCH($C12,'C-Допущения'!$B$25:$B$30,0),5))</f>
        <v>379473.319220206</v>
      </c>
      <c r="J12" s="23">
        <f>SUM(E12:I12)</f>
        <v>1226669.10403273</v>
      </c>
      <c r="K12" s="24"/>
      <c r="L12" s="25" t="inlineStr">
        <is>
          <t>Полная межрегиональная мощность с первого дня.</t>
        </is>
      </c>
    </row>
    <row r="13">
      <c r="B13" s="11" t="inlineStr">
        <is>
          <t>Локальная площадка в Нигерии</t>
        </is>
      </c>
      <c r="C13" s="17" t="inlineStr">
        <is>
          <t>инфляция</t>
        </is>
      </c>
      <c r="D13" s="18">
        <v>36000</v>
      </c>
      <c r="E13" s="23">
        <f>IF($D13="","",$D13*INDEX('C-Допущения'!$C$25:$G$30,MATCH($C13,'C-Допущения'!$B$25:$B$30,0),1))</f>
        <v>36000</v>
      </c>
      <c r="F13" s="23">
        <f>IF($D13="","",$D13*INDEX('C-Допущения'!$C$25:$G$30,MATCH($C13,'C-Допущения'!$B$25:$B$30,0),2))</f>
        <v>38880</v>
      </c>
      <c r="G13" s="23">
        <f>IF($D13="","",$D13*INDEX('C-Допущения'!$C$25:$G$30,MATCH($C13,'C-Допущения'!$B$25:$B$30,0),3))</f>
        <v>41990.4</v>
      </c>
      <c r="H13" s="23">
        <f>IF($D13="","",$D13*INDEX('C-Допущения'!$C$25:$G$30,MATCH($C13,'C-Допущения'!$B$25:$B$30,0),4))</f>
        <v>45349.632</v>
      </c>
      <c r="I13" s="23">
        <f>IF($D13="","",$D13*INDEX('C-Допущения'!$C$25:$G$30,MATCH($C13,'C-Допущения'!$B$25:$B$30,0),5))</f>
        <v>48977.60256</v>
      </c>
      <c r="J13" s="23">
        <f>SUM(E13:I13)</f>
        <v>211197.63456</v>
      </c>
      <c r="K13" s="24"/>
      <c r="L13" s="25" t="inlineStr">
        <is>
          <t>Резерв на местную инфраструктуру и её эксплуатацию.</t>
        </is>
      </c>
    </row>
    <row r="14">
      <c r="B14" s="11" t="inlineStr">
        <is>
          <t/>
        </is>
      </c>
      <c r="C14" s="17" t="inlineStr">
        <is>
          <t>инфляция</t>
        </is>
      </c>
      <c r="D14" s="18"/>
      <c r="E14" s="23">
        <f>IF($D14="","",$D14*INDEX('C-Допущения'!$C$25:$G$30,MATCH($C14,'C-Допущения'!$B$25:$B$30,0),1))</f>
        <v/>
      </c>
      <c r="F14" s="23">
        <f>IF($D14="","",$D14*INDEX('C-Допущения'!$C$25:$G$30,MATCH($C14,'C-Допущения'!$B$25:$B$30,0),2))</f>
        <v/>
      </c>
      <c r="G14" s="23">
        <f>IF($D14="","",$D14*INDEX('C-Допущения'!$C$25:$G$30,MATCH($C14,'C-Допущения'!$B$25:$B$30,0),3))</f>
        <v/>
      </c>
      <c r="H14" s="23">
        <f>IF($D14="","",$D14*INDEX('C-Допущения'!$C$25:$G$30,MATCH($C14,'C-Допущения'!$B$25:$B$30,0),4))</f>
        <v/>
      </c>
      <c r="I14" s="23">
        <f>IF($D14="","",$D14*INDEX('C-Допущения'!$C$25:$G$30,MATCH($C14,'C-Допущения'!$B$25:$B$30,0),5))</f>
        <v/>
      </c>
      <c r="J14" s="23">
        <f>SUM(E14:I14)</f>
        <v>0</v>
      </c>
      <c r="K14" s="24"/>
      <c r="L14" s="25" t="inlineStr">
        <is>
          <t/>
        </is>
      </c>
    </row>
    <row r="15">
      <c r="B15" s="26" t="s">
        <v>114</v>
      </c>
      <c r="C15" s="27"/>
      <c r="D15" s="27"/>
      <c r="E15" s="28">
        <f>SUM(E7:E14)</f>
        <v>450000</v>
      </c>
      <c r="F15" s="28">
        <f>SUM(F7:F14)</f>
        <v>636787.728987382</v>
      </c>
      <c r="G15" s="28">
        <f>SUM(G7:G14)</f>
        <v>899656.031459995</v>
      </c>
      <c r="H15" s="28">
        <f>SUM(H7:H14)</f>
        <v>1184836.32289201</v>
      </c>
      <c r="I15" s="28">
        <f>SUM(I7:I14)</f>
        <v>1413164.82225667</v>
      </c>
      <c r="J15" s="28">
        <f>SUM(E15:I15)</f>
        <v>4584444.90559605</v>
      </c>
      <c r="K15" s="29">
        <f>IFERROR(J15/$J$51,0)</f>
        <v>0.084023242026761</v>
      </c>
      <c r="L15" s="27"/>
    </row>
    <row r="16">
      <c r="C16" s="30"/>
    </row>
    <row r="17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>
      <c r="B18" s="11" t="inlineStr">
        <is>
          <t>Эксплуатация средств наблюдаемости</t>
        </is>
      </c>
      <c r="C18" s="17" t="inlineStr">
        <is>
          <t>мощность</t>
        </is>
      </c>
      <c r="D18" s="18">
        <v>48000</v>
      </c>
      <c r="E18" s="23">
        <f>IF($D18="","",$D18*INDEX('C-Допущения'!$C$25:$G$30,MATCH($C18,'C-Допущения'!$B$25:$B$30,0),1))</f>
        <v>48000</v>
      </c>
      <c r="F18" s="23">
        <f>IF($D18="","",$D18*INDEX('C-Допущения'!$C$25:$G$30,MATCH($C18,'C-Допущения'!$B$25:$B$30,0),2))</f>
        <v>67882.2509939086</v>
      </c>
      <c r="G18" s="23">
        <f>IF($D18="","",$D18*INDEX('C-Допущения'!$C$25:$G$30,MATCH($C18,'C-Допущения'!$B$25:$B$30,0),3))</f>
        <v>96000</v>
      </c>
      <c r="H18" s="23">
        <f>IF($D18="","",$D18*INDEX('C-Допущения'!$C$25:$G$30,MATCH($C18,'C-Допущения'!$B$25:$B$30,0),4))</f>
        <v>126996.0629311</v>
      </c>
      <c r="I18" s="23">
        <f>IF($D18="","",$D18*INDEX('C-Допущения'!$C$25:$G$30,MATCH($C18,'C-Допущения'!$B$25:$B$30,0),5))</f>
        <v>151789.327688082</v>
      </c>
      <c r="J18" s="23">
        <f>SUM(E18:I18)</f>
        <v>490667.641613091</v>
      </c>
      <c r="K18" s="24"/>
      <c r="L18" s="25" t="inlineStr">
        <is>
          <t>Prometheus, Grafana, Jaeger и Loki в масштабе платформы.</t>
        </is>
      </c>
    </row>
    <row r="19">
      <c r="B19" s="11" t="inlineStr">
        <is>
          <t>Автоматизация поставки и управление конфигурацией</t>
        </is>
      </c>
      <c r="C19" s="17" t="inlineStr">
        <is>
          <t>инфляция</t>
        </is>
      </c>
      <c r="D19" s="18">
        <v>12000</v>
      </c>
      <c r="E19" s="23">
        <f>IF($D19="","",$D19*INDEX('C-Допущения'!$C$25:$G$30,MATCH($C19,'C-Допущения'!$B$25:$B$30,0),1))</f>
        <v>12000</v>
      </c>
      <c r="F19" s="23">
        <f>IF($D19="","",$D19*INDEX('C-Допущения'!$C$25:$G$30,MATCH($C19,'C-Допущения'!$B$25:$B$30,0),2))</f>
        <v>12960</v>
      </c>
      <c r="G19" s="23">
        <f>IF($D19="","",$D19*INDEX('C-Допущения'!$C$25:$G$30,MATCH($C19,'C-Допущения'!$B$25:$B$30,0),3))</f>
        <v>13996.8</v>
      </c>
      <c r="H19" s="23">
        <f>IF($D19="","",$D19*INDEX('C-Допущения'!$C$25:$G$30,MATCH($C19,'C-Допущения'!$B$25:$B$30,0),4))</f>
        <v>15116.544</v>
      </c>
      <c r="I19" s="23">
        <f>IF($D19="","",$D19*INDEX('C-Допущения'!$C$25:$G$30,MATCH($C19,'C-Допущения'!$B$25:$B$30,0),5))</f>
        <v>16325.86752</v>
      </c>
      <c r="J19" s="23">
        <f>SUM(E19:I19)</f>
        <v>70399.21152</v>
      </c>
      <c r="K19" s="24"/>
      <c r="L19" s="25" t="inlineStr">
        <is>
          <t>Argo CD и большое число развёртываемых компонентов.</t>
        </is>
      </c>
    </row>
    <row r="20">
      <c r="B20" s="11" t="inlineStr">
        <is>
          <t>Безопасность и сервисная сеть</t>
        </is>
      </c>
      <c r="C20" s="17" t="inlineStr">
        <is>
          <t>мощность</t>
        </is>
      </c>
      <c r="D20" s="18">
        <v>24000</v>
      </c>
      <c r="E20" s="23">
        <f>IF($D20="","",$D20*INDEX('C-Допущения'!$C$25:$G$30,MATCH($C20,'C-Допущения'!$B$25:$B$30,0),1))</f>
        <v>24000</v>
      </c>
      <c r="F20" s="23">
        <f>IF($D20="","",$D20*INDEX('C-Допущения'!$C$25:$G$30,MATCH($C20,'C-Допущения'!$B$25:$B$30,0),2))</f>
        <v>33941.1254969543</v>
      </c>
      <c r="G20" s="23">
        <f>IF($D20="","",$D20*INDEX('C-Допущения'!$C$25:$G$30,MATCH($C20,'C-Допущения'!$B$25:$B$30,0),3))</f>
        <v>48000</v>
      </c>
      <c r="H20" s="23">
        <f>IF($D20="","",$D20*INDEX('C-Допущения'!$C$25:$G$30,MATCH($C20,'C-Допущения'!$B$25:$B$30,0),4))</f>
        <v>63498.0314655502</v>
      </c>
      <c r="I20" s="23">
        <f>IF($D20="","",$D20*INDEX('C-Допущения'!$C$25:$G$30,MATCH($C20,'C-Допущения'!$B$25:$B$30,0),5))</f>
        <v>75894.6638440411</v>
      </c>
      <c r="J20" s="23">
        <f>SUM(E20:I20)</f>
        <v>245333.820806546</v>
      </c>
      <c r="K20" s="24"/>
      <c r="L20" s="25" t="inlineStr">
        <is>
          <t>Istio, взаимная TLS-аутентификация и расширенный контур защиты.</t>
        </is>
      </c>
    </row>
    <row r="21" ht="15.75" customHeight="1">
      <c r="B21" s="11" t="inlineStr">
        <is>
          <t>Фиксированная плата за WhatsApp Business API</t>
        </is>
      </c>
      <c r="C21" s="17" t="inlineStr">
        <is>
          <t>инфляция</t>
        </is>
      </c>
      <c r="D21" s="18">
        <v>1200</v>
      </c>
      <c r="E21" s="23">
        <f>IF($D21="","",$D21*INDEX('C-Допущения'!$C$25:$G$30,MATCH($C21,'C-Допущения'!$B$25:$B$30,0),1))</f>
        <v>1200</v>
      </c>
      <c r="F21" s="23">
        <f>IF($D21="","",$D21*INDEX('C-Допущения'!$C$25:$G$30,MATCH($C21,'C-Допущения'!$B$25:$B$30,0),2))</f>
        <v>1296</v>
      </c>
      <c r="G21" s="23">
        <f>IF($D21="","",$D21*INDEX('C-Допущения'!$C$25:$G$30,MATCH($C21,'C-Допущения'!$B$25:$B$30,0),3))</f>
        <v>1399.68</v>
      </c>
      <c r="H21" s="23">
        <f>IF($D21="","",$D21*INDEX('C-Допущения'!$C$25:$G$30,MATCH($C21,'C-Допущения'!$B$25:$B$30,0),4))</f>
        <v>1511.6544</v>
      </c>
      <c r="I21" s="23">
        <f>IF($D21="","",$D21*INDEX('C-Допущения'!$C$25:$G$30,MATCH($C21,'C-Допущения'!$B$25:$B$30,0),5))</f>
        <v>1632.586752</v>
      </c>
      <c r="J21" s="23">
        <f>SUM(E21:I21)</f>
        <v>7039.921152</v>
      </c>
      <c r="K21" s="24"/>
      <c r="L21" s="25" t="inlineStr">
        <is>
          <t>Постоянная плата; переменные расходы учтены в блоке 3.</t>
        </is>
      </c>
    </row>
    <row r="22" ht="15.75" customHeight="1">
      <c r="B22" s="11" t="inlineStr">
        <is>
          <t>Прочие инструменты разработки</t>
        </is>
      </c>
      <c r="C22" s="17" t="inlineStr">
        <is>
          <t>инфляция</t>
        </is>
      </c>
      <c r="D22" s="18">
        <v>6000</v>
      </c>
      <c r="E22" s="23">
        <f>IF($D22="","",$D22*INDEX('C-Допущения'!$C$25:$G$30,MATCH($C22,'C-Допущения'!$B$25:$B$30,0),1))</f>
        <v>6000</v>
      </c>
      <c r="F22" s="23">
        <f>IF($D22="","",$D22*INDEX('C-Допущения'!$C$25:$G$30,MATCH($C22,'C-Допущения'!$B$25:$B$30,0),2))</f>
        <v>6480</v>
      </c>
      <c r="G22" s="23">
        <f>IF($D22="","",$D22*INDEX('C-Допущения'!$C$25:$G$30,MATCH($C22,'C-Допущения'!$B$25:$B$30,0),3))</f>
        <v>6998.4</v>
      </c>
      <c r="H22" s="23">
        <f>IF($D22="","",$D22*INDEX('C-Допущения'!$C$25:$G$30,MATCH($C22,'C-Допущения'!$B$25:$B$30,0),4))</f>
        <v>7558.272</v>
      </c>
      <c r="I22" s="23">
        <f>IF($D22="","",$D22*INDEX('C-Допущения'!$C$25:$G$30,MATCH($C22,'C-Допущения'!$B$25:$B$30,0),5))</f>
        <v>8162.93376</v>
      </c>
      <c r="J22" s="23">
        <f>SUM(E22:I22)</f>
        <v>35199.60576</v>
      </c>
      <c r="K22" s="24"/>
      <c r="L22" s="25" t="inlineStr">
        <is>
          <t>Резерв на инструменты для расширенной команды.</t>
        </is>
      </c>
    </row>
    <row r="23" ht="15.75" customHeight="1">
      <c r="B23" s="11" t="inlineStr">
        <is>
          <t>Лицензии и сопровождение Oracle</t>
        </is>
      </c>
      <c r="C23" s="17" t="inlineStr">
        <is>
          <t>инфляция</t>
        </is>
      </c>
      <c r="D23" s="18">
        <v>95000</v>
      </c>
      <c r="E23" s="23">
        <f>IF($D23="","",$D23*INDEX('C-Допущения'!$C$25:$G$30,MATCH($C23,'C-Допущения'!$B$25:$B$30,0),1))</f>
        <v>95000</v>
      </c>
      <c r="F23" s="23">
        <f>IF($D23="","",$D23*INDEX('C-Допущения'!$C$25:$G$30,MATCH($C23,'C-Допущения'!$B$25:$B$30,0),2))</f>
        <v>102600</v>
      </c>
      <c r="G23" s="23">
        <f>IF($D23="","",$D23*INDEX('C-Допущения'!$C$25:$G$30,MATCH($C23,'C-Допущения'!$B$25:$B$30,0),3))</f>
        <v>110808</v>
      </c>
      <c r="H23" s="23">
        <f>IF($D23="","",$D23*INDEX('C-Допущения'!$C$25:$G$30,MATCH($C23,'C-Допущения'!$B$25:$B$30,0),4))</f>
        <v>119672.64</v>
      </c>
      <c r="I23" s="23">
        <f>IF($D23="","",$D23*INDEX('C-Допущения'!$C$25:$G$30,MATCH($C23,'C-Допущения'!$B$25:$B$30,0),5))</f>
        <v>129246.4512</v>
      </c>
      <c r="J23" s="23">
        <f>SUM(E23:I23)</f>
        <v>557327.0912</v>
      </c>
      <c r="K23" s="24"/>
      <c r="L23" s="25" t="inlineStr">
        <is>
          <t>Плановый резерв; требуется коммерческое предложение и согласование финансового директора.</t>
        </is>
      </c>
    </row>
    <row r="24" ht="15.75" customHeight="1">
      <c r="B24" s="26" t="s">
        <v>114</v>
      </c>
      <c r="C24" s="27"/>
      <c r="D24" s="27"/>
      <c r="E24" s="28">
        <f>SUM(E18:E23)</f>
        <v>186200</v>
      </c>
      <c r="F24" s="28">
        <f>SUM(F18:F23)</f>
        <v>225159.376490863</v>
      </c>
      <c r="G24" s="28">
        <f>SUM(G18:G23)</f>
        <v>277202.88</v>
      </c>
      <c r="H24" s="28">
        <f>SUM(H18:H23)</f>
        <v>334353.204796651</v>
      </c>
      <c r="I24" s="28">
        <f>SUM(I18:I23)</f>
        <v>383051.830764123</v>
      </c>
      <c r="J24" s="28">
        <f>SUM(E24:I24)</f>
        <v>1405967.29205164</v>
      </c>
      <c r="K24" s="29">
        <f>IFERROR(J24/$J$51,0)</f>
        <v>0.0257684261659602</v>
      </c>
      <c r="L24" s="27"/>
    </row>
    <row r="25" ht="15.75" customHeight="1">
      <c r="C25" s="30"/>
    </row>
    <row r="26" ht="15.75" customHeight="1">
      <c r="B26" s="7" t="s">
        <v>126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ht="15.75" customHeight="1">
      <c r="B27" s="11" t="inlineStr">
        <is>
          <t>Комиссии платёжных провайдеров</t>
        </is>
      </c>
      <c r="C27" s="17" t="inlineStr">
        <is>
          <t>оборот (GMV)</t>
        </is>
      </c>
      <c r="D27" s="18">
        <v>187500</v>
      </c>
      <c r="E27" s="23">
        <f>IF($D27="","",$D27*INDEX('C-Допущения'!$C$25:$G$30,MATCH($C27,'C-Допущения'!$B$25:$B$30,0),1))</f>
        <v>187500</v>
      </c>
      <c r="F27" s="23">
        <f>IF($D27="","",$D27*INDEX('C-Допущения'!$C$25:$G$30,MATCH($C27,'C-Допущения'!$B$25:$B$30,0),2))</f>
        <v>1170000</v>
      </c>
      <c r="G27" s="23">
        <f>IF($D27="","",$D27*INDEX('C-Допущения'!$C$25:$G$30,MATCH($C27,'C-Допущения'!$B$25:$B$30,0),3))</f>
        <v>4050000</v>
      </c>
      <c r="H27" s="23">
        <f>IF($D27="","",$D27*INDEX('C-Допущения'!$C$25:$G$30,MATCH($C27,'C-Допущения'!$B$25:$B$30,0),4))</f>
        <v>8400000</v>
      </c>
      <c r="I27" s="23">
        <f>IF($D27="","",$D27*INDEX('C-Допущения'!$C$25:$G$30,MATCH($C27,'C-Допущения'!$B$25:$B$30,0),5))</f>
        <v>13050000</v>
      </c>
      <c r="J27" s="23">
        <f>SUM(E27:I27)</f>
        <v>26857500</v>
      </c>
      <c r="K27" s="24"/>
      <c r="L27" s="25" t="inlineStr">
        <is>
          <t>2,5% оборота первого года; письмо финансового директора, п. 6.</t>
        </is>
      </c>
    </row>
    <row r="28" ht="15.75" customHeight="1">
      <c r="B28" s="11" t="inlineStr">
        <is>
          <t>SMS-уведомления</t>
        </is>
      </c>
      <c r="C28" s="17" t="inlineStr">
        <is>
          <t>заказы</t>
        </is>
      </c>
      <c r="D28" s="18">
        <v>12000</v>
      </c>
      <c r="E28" s="23">
        <f>IF($D28="","",$D28*INDEX('C-Допущения'!$C$25:$G$30,MATCH($C28,'C-Допущения'!$B$25:$B$30,0),1))</f>
        <v>12000</v>
      </c>
      <c r="F28" s="23">
        <f>IF($D28="","",$D28*INDEX('C-Допущения'!$C$25:$G$30,MATCH($C28,'C-Допущения'!$B$25:$B$30,0),2))</f>
        <v>72000</v>
      </c>
      <c r="G28" s="23">
        <f>IF($D28="","",$D28*INDEX('C-Допущения'!$C$25:$G$30,MATCH($C28,'C-Допущения'!$B$25:$B$30,0),3))</f>
        <v>240000</v>
      </c>
      <c r="H28" s="23">
        <f>IF($D28="","",$D28*INDEX('C-Допущения'!$C$25:$G$30,MATCH($C28,'C-Допущения'!$B$25:$B$30,0),4))</f>
        <v>480000</v>
      </c>
      <c r="I28" s="23">
        <f>IF($D28="","",$D28*INDEX('C-Допущения'!$C$25:$G$30,MATCH($C28,'C-Допущения'!$B$25:$B$30,0),5))</f>
        <v>720000</v>
      </c>
      <c r="J28" s="23">
        <f>SUM(E28:I28)</f>
        <v>1524000</v>
      </c>
      <c r="K28" s="24"/>
      <c r="L28" s="25" t="inlineStr">
        <is>
          <t>$0,04 на заказ; допущение модели задания 2.</t>
        </is>
      </c>
    </row>
    <row r="29" ht="15.75" customHeight="1">
      <c r="B29" s="11" t="inlineStr">
        <is>
          <t>Сообщения WhatsApp</t>
        </is>
      </c>
      <c r="C29" s="17" t="inlineStr">
        <is>
          <t>заказы</t>
        </is>
      </c>
      <c r="D29" s="18">
        <v>9000</v>
      </c>
      <c r="E29" s="23">
        <f>IF($D29="","",$D29*INDEX('C-Допущения'!$C$25:$G$30,MATCH($C29,'C-Допущения'!$B$25:$B$30,0),1))</f>
        <v>9000</v>
      </c>
      <c r="F29" s="23">
        <f>IF($D29="","",$D29*INDEX('C-Допущения'!$C$25:$G$30,MATCH($C29,'C-Допущения'!$B$25:$B$30,0),2))</f>
        <v>54000</v>
      </c>
      <c r="G29" s="23">
        <f>IF($D29="","",$D29*INDEX('C-Допущения'!$C$25:$G$30,MATCH($C29,'C-Допущения'!$B$25:$B$30,0),3))</f>
        <v>180000</v>
      </c>
      <c r="H29" s="23">
        <f>IF($D29="","",$D29*INDEX('C-Допущения'!$C$25:$G$30,MATCH($C29,'C-Допущения'!$B$25:$B$30,0),4))</f>
        <v>360000</v>
      </c>
      <c r="I29" s="23">
        <f>IF($D29="","",$D29*INDEX('C-Допущения'!$C$25:$G$30,MATCH($C29,'C-Допущения'!$B$25:$B$30,0),5))</f>
        <v>540000</v>
      </c>
      <c r="J29" s="23">
        <f>SUM(E29:I29)</f>
        <v>1143000</v>
      </c>
      <c r="K29" s="24"/>
      <c r="L29" s="25" t="inlineStr">
        <is>
          <t>$0,03 на заказ; допущение модели задания 2.</t>
        </is>
      </c>
    </row>
    <row r="30" ht="15.75" customHeight="1">
      <c r="B30" s="11" t="inlineStr">
        <is>
          <t>Комиссии за интеграцию с логистическими партнёрами</t>
        </is>
      </c>
      <c r="C30" s="17" t="inlineStr">
        <is>
          <t>заказы</t>
        </is>
      </c>
      <c r="D30" s="18">
        <v>30000</v>
      </c>
      <c r="E30" s="23">
        <f>IF($D30="","",$D30*INDEX('C-Допущения'!$C$25:$G$30,MATCH($C30,'C-Допущения'!$B$25:$B$30,0),1))</f>
        <v>30000</v>
      </c>
      <c r="F30" s="23">
        <f>IF($D30="","",$D30*INDEX('C-Допущения'!$C$25:$G$30,MATCH($C30,'C-Допущения'!$B$25:$B$30,0),2))</f>
        <v>180000</v>
      </c>
      <c r="G30" s="23">
        <f>IF($D30="","",$D30*INDEX('C-Допущения'!$C$25:$G$30,MATCH($C30,'C-Допущения'!$B$25:$B$30,0),3))</f>
        <v>600000</v>
      </c>
      <c r="H30" s="23">
        <f>IF($D30="","",$D30*INDEX('C-Допущения'!$C$25:$G$30,MATCH($C30,'C-Допущения'!$B$25:$B$30,0),4))</f>
        <v>1200000</v>
      </c>
      <c r="I30" s="23">
        <f>IF($D30="","",$D30*INDEX('C-Допущения'!$C$25:$G$30,MATCH($C30,'C-Допущения'!$B$25:$B$30,0),5))</f>
        <v>1800000</v>
      </c>
      <c r="J30" s="23">
        <f>SUM(E30:I30)</f>
        <v>3810000</v>
      </c>
      <c r="K30" s="24"/>
      <c r="L30" s="25" t="inlineStr">
        <is>
          <t>$0,10 на заказ; стоимость курьерской доставки не включена.</t>
        </is>
      </c>
    </row>
    <row r="31" ht="15.75" customHeight="1">
      <c r="B31" s="11" t="inlineStr">
        <is>
          <t/>
        </is>
      </c>
      <c r="C31" s="17" t="inlineStr">
        <is>
          <t>инфляция</t>
        </is>
      </c>
      <c r="D31" s="18"/>
      <c r="E31" s="23">
        <f>IF($D31="","",$D31*INDEX('C-Допущения'!$C$25:$G$30,MATCH($C31,'C-Допущения'!$B$25:$B$30,0),1))</f>
        <v/>
      </c>
      <c r="F31" s="23">
        <f>IF($D31="","",$D31*INDEX('C-Допущения'!$C$25:$G$30,MATCH($C31,'C-Допущения'!$B$25:$B$30,0),2))</f>
        <v/>
      </c>
      <c r="G31" s="23">
        <f>IF($D31="","",$D31*INDEX('C-Допущения'!$C$25:$G$30,MATCH($C31,'C-Допущения'!$B$25:$B$30,0),3))</f>
        <v/>
      </c>
      <c r="H31" s="23">
        <f>IF($D31="","",$D31*INDEX('C-Допущения'!$C$25:$G$30,MATCH($C31,'C-Допущения'!$B$25:$B$30,0),4))</f>
        <v/>
      </c>
      <c r="I31" s="23">
        <f>IF($D31="","",$D31*INDEX('C-Допущения'!$C$25:$G$30,MATCH($C31,'C-Допущения'!$B$25:$B$30,0),5))</f>
        <v/>
      </c>
      <c r="J31" s="23">
        <f>SUM(E31:I31)</f>
        <v>0</v>
      </c>
      <c r="K31" s="24"/>
      <c r="L31" s="25" t="inlineStr">
        <is>
          <t/>
        </is>
      </c>
    </row>
    <row r="32" ht="15.75" customHeight="1">
      <c r="B32" s="26" t="s">
        <v>114</v>
      </c>
      <c r="C32" s="27"/>
      <c r="D32" s="27"/>
      <c r="E32" s="28">
        <f>SUM(E27:E31)</f>
        <v>238500</v>
      </c>
      <c r="F32" s="28">
        <f>SUM(F27:F31)</f>
        <v>1476000</v>
      </c>
      <c r="G32" s="28">
        <f>SUM(G27:G31)</f>
        <v>5070000</v>
      </c>
      <c r="H32" s="28">
        <f>SUM(H27:H31)</f>
        <v>10440000</v>
      </c>
      <c r="I32" s="28">
        <f>SUM(I27:I31)</f>
        <v>16110000</v>
      </c>
      <c r="J32" s="28">
        <f>SUM(E32:I32)</f>
        <v>33334500</v>
      </c>
      <c r="K32" s="29">
        <f>IFERROR(J32/$J$51,0)</f>
        <v>0.610951340678595</v>
      </c>
      <c r="L32" s="27"/>
    </row>
    <row r="33" ht="15.75" customHeight="1">
      <c r="C33" s="30"/>
    </row>
    <row r="34" ht="15.75" customHeight="1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B35" s="11" t="inlineStr">
        <is>
          <t>Разработка (10 специалистов)</t>
        </is>
      </c>
      <c r="C35" s="17" t="inlineStr">
        <is>
          <t>ФОТ</t>
        </is>
      </c>
      <c r="D35" s="18">
        <v>600000</v>
      </c>
      <c r="E35" s="23">
        <f>IF($D35="","",$D35*INDEX('C-Допущения'!$C$25:$G$30,MATCH($C35,'C-Допущения'!$B$25:$B$30,0),1))</f>
        <v>600000</v>
      </c>
      <c r="F35" s="23">
        <f>IF($D35="","",$D35*INDEX('C-Допущения'!$C$25:$G$30,MATCH($C35,'C-Допущения'!$B$25:$B$30,0),2))</f>
        <v>672000</v>
      </c>
      <c r="G35" s="23">
        <f>IF($D35="","",$D35*INDEX('C-Допущения'!$C$25:$G$30,MATCH($C35,'C-Допущения'!$B$25:$B$30,0),3))</f>
        <v>752640</v>
      </c>
      <c r="H35" s="23">
        <f>IF($D35="","",$D35*INDEX('C-Допущения'!$C$25:$G$30,MATCH($C35,'C-Допущения'!$B$25:$B$30,0),4))</f>
        <v>842956.8</v>
      </c>
      <c r="I35" s="23">
        <f>IF($D35="","",$D35*INDEX('C-Допущения'!$C$25:$G$30,MATCH($C35,'C-Допущения'!$B$25:$B$30,0),5))</f>
        <v>944111.616</v>
      </c>
      <c r="J35" s="23">
        <f>SUM(E35:I35)</f>
        <v>3811708.416</v>
      </c>
      <c r="K35" s="24"/>
      <c r="L35" s="25" t="inlineStr">
        <is>
          <t>10 × $60 тыс. полной годовой стоимости специалиста.</t>
        </is>
      </c>
    </row>
    <row r="36" ht="15.75" customHeight="1">
      <c r="B36" s="11" t="inlineStr">
        <is>
          <t>Платформа и эксплуатация (4 специалиста)</t>
        </is>
      </c>
      <c r="C36" s="17" t="inlineStr">
        <is>
          <t>ФОТ</t>
        </is>
      </c>
      <c r="D36" s="18">
        <v>240000</v>
      </c>
      <c r="E36" s="23">
        <f>IF($D36="","",$D36*INDEX('C-Допущения'!$C$25:$G$30,MATCH($C36,'C-Допущения'!$B$25:$B$30,0),1))</f>
        <v>240000</v>
      </c>
      <c r="F36" s="23">
        <f>IF($D36="","",$D36*INDEX('C-Допущения'!$C$25:$G$30,MATCH($C36,'C-Допущения'!$B$25:$B$30,0),2))</f>
        <v>268800</v>
      </c>
      <c r="G36" s="23">
        <f>IF($D36="","",$D36*INDEX('C-Допущения'!$C$25:$G$30,MATCH($C36,'C-Допущения'!$B$25:$B$30,0),3))</f>
        <v>301056</v>
      </c>
      <c r="H36" s="23">
        <f>IF($D36="","",$D36*INDEX('C-Допущения'!$C$25:$G$30,MATCH($C36,'C-Допущения'!$B$25:$B$30,0),4))</f>
        <v>337182.72</v>
      </c>
      <c r="I36" s="23">
        <f>IF($D36="","",$D36*INDEX('C-Допущения'!$C$25:$G$30,MATCH($C36,'C-Допущения'!$B$25:$B$30,0),5))</f>
        <v>377644.6464</v>
      </c>
      <c r="J36" s="23">
        <f>SUM(E36:I36)</f>
        <v>1524683.3664</v>
      </c>
      <c r="K36" s="24"/>
      <c r="L36" s="25" t="inlineStr">
        <is>
          <t>4 × $60 тыс. полной годовой стоимости специалиста.</t>
        </is>
      </c>
    </row>
    <row r="37" ht="15.75" customHeight="1">
      <c r="B37" s="11" t="inlineStr">
        <is>
          <t>Поддержка и дежурство (4 специалиста)</t>
        </is>
      </c>
      <c r="C37" s="17" t="inlineStr">
        <is>
          <t>ФОТ</t>
        </is>
      </c>
      <c r="D37" s="18">
        <v>192000</v>
      </c>
      <c r="E37" s="23">
        <f>IF($D37="","",$D37*INDEX('C-Допущения'!$C$25:$G$30,MATCH($C37,'C-Допущения'!$B$25:$B$30,0),1))</f>
        <v>192000</v>
      </c>
      <c r="F37" s="23">
        <f>IF($D37="","",$D37*INDEX('C-Допущения'!$C$25:$G$30,MATCH($C37,'C-Допущения'!$B$25:$B$30,0),2))</f>
        <v>215040</v>
      </c>
      <c r="G37" s="23">
        <f>IF($D37="","",$D37*INDEX('C-Допущения'!$C$25:$G$30,MATCH($C37,'C-Допущения'!$B$25:$B$30,0),3))</f>
        <v>240844.8</v>
      </c>
      <c r="H37" s="23">
        <f>IF($D37="","",$D37*INDEX('C-Допущения'!$C$25:$G$30,MATCH($C37,'C-Допущения'!$B$25:$B$30,0),4))</f>
        <v>269746.176</v>
      </c>
      <c r="I37" s="23">
        <f>IF($D37="","",$D37*INDEX('C-Допущения'!$C$25:$G$30,MATCH($C37,'C-Допущения'!$B$25:$B$30,0),5))</f>
        <v>302115.71712</v>
      </c>
      <c r="J37" s="23">
        <f>SUM(E37:I37)</f>
        <v>1219746.69312</v>
      </c>
      <c r="K37" s="24"/>
      <c r="L37" s="25" t="inlineStr">
        <is>
          <t>Резерв на круглосуточную поддержку платформы.</t>
        </is>
      </c>
    </row>
    <row r="38" ht="15.75" customHeight="1">
      <c r="B38" s="11" t="inlineStr">
        <is>
          <t>Архитектура и управление</t>
        </is>
      </c>
      <c r="C38" s="17" t="inlineStr">
        <is>
          <t>ФОТ</t>
        </is>
      </c>
      <c r="D38" s="18">
        <v>180000</v>
      </c>
      <c r="E38" s="23">
        <f>IF($D38="","",$D38*INDEX('C-Допущения'!$C$25:$G$30,MATCH($C38,'C-Допущения'!$B$25:$B$30,0),1))</f>
        <v>180000</v>
      </c>
      <c r="F38" s="23">
        <f>IF($D38="","",$D38*INDEX('C-Допущения'!$C$25:$G$30,MATCH($C38,'C-Допущения'!$B$25:$B$30,0),2))</f>
        <v>201600</v>
      </c>
      <c r="G38" s="23">
        <f>IF($D38="","",$D38*INDEX('C-Допущения'!$C$25:$G$30,MATCH($C38,'C-Допущения'!$B$25:$B$30,0),3))</f>
        <v>225792</v>
      </c>
      <c r="H38" s="23">
        <f>IF($D38="","",$D38*INDEX('C-Допущения'!$C$25:$G$30,MATCH($C38,'C-Допущения'!$B$25:$B$30,0),4))</f>
        <v>252887.04</v>
      </c>
      <c r="I38" s="23">
        <f>IF($D38="","",$D38*INDEX('C-Допущения'!$C$25:$G$30,MATCH($C38,'C-Допущения'!$B$25:$B$30,0),5))</f>
        <v>283233.4848</v>
      </c>
      <c r="J38" s="23">
        <f>SUM(E38:I38)</f>
        <v>1143512.5248</v>
      </c>
      <c r="K38" s="24"/>
      <c r="L38" s="25" t="inlineStr">
        <is>
          <t>Координация архитектуры, платформы и продукта.</t>
        </is>
      </c>
    </row>
    <row r="39" ht="15.75" customHeight="1">
      <c r="B39" s="11" t="inlineStr">
        <is>
          <t/>
        </is>
      </c>
      <c r="C39" s="17" t="inlineStr">
        <is>
          <t>инфляция</t>
        </is>
      </c>
      <c r="D39" s="18"/>
      <c r="E39" s="23">
        <f>IF($D39="","",$D39*INDEX('C-Допущения'!$C$25:$G$30,MATCH($C39,'C-Допущения'!$B$25:$B$30,0),1))</f>
        <v/>
      </c>
      <c r="F39" s="23">
        <f>IF($D39="","",$D39*INDEX('C-Допущения'!$C$25:$G$30,MATCH($C39,'C-Допущения'!$B$25:$B$30,0),2))</f>
        <v/>
      </c>
      <c r="G39" s="23">
        <f>IF($D39="","",$D39*INDEX('C-Допущения'!$C$25:$G$30,MATCH($C39,'C-Допущения'!$B$25:$B$30,0),3))</f>
        <v/>
      </c>
      <c r="H39" s="23">
        <f>IF($D39="","",$D39*INDEX('C-Допущения'!$C$25:$G$30,MATCH($C39,'C-Допущения'!$B$25:$B$30,0),4))</f>
        <v/>
      </c>
      <c r="I39" s="23">
        <f>IF($D39="","",$D39*INDEX('C-Допущения'!$C$25:$G$30,MATCH($C39,'C-Допущения'!$B$25:$B$30,0),5))</f>
        <v/>
      </c>
      <c r="J39" s="23">
        <f>SUM(E39:I39)</f>
        <v>0</v>
      </c>
      <c r="K39" s="24"/>
      <c r="L39" s="25" t="inlineStr">
        <is>
          <t/>
        </is>
      </c>
    </row>
    <row r="40" ht="15.75" customHeight="1">
      <c r="B40" s="26" t="s">
        <v>114</v>
      </c>
      <c r="C40" s="27"/>
      <c r="D40" s="27"/>
      <c r="E40" s="28">
        <f>SUM(E35:E39)</f>
        <v>1212000</v>
      </c>
      <c r="F40" s="28">
        <f>SUM(F35:F39)</f>
        <v>1357440</v>
      </c>
      <c r="G40" s="28">
        <f>SUM(G35:G39)</f>
        <v>1520332.8</v>
      </c>
      <c r="H40" s="28">
        <f>SUM(H35:H39)</f>
        <v>1702772.736</v>
      </c>
      <c r="I40" s="28">
        <f>SUM(I35:I39)</f>
        <v>1907105.46432</v>
      </c>
      <c r="J40" s="28">
        <f>SUM(E40:I40)</f>
        <v>7699651.00032</v>
      </c>
      <c r="K40" s="29">
        <f>IFERROR(J40/$J$51,0)</f>
        <v>0.141118423897247</v>
      </c>
      <c r="L40" s="27"/>
    </row>
    <row r="41" ht="15.75" customHeight="1">
      <c r="C41" s="30"/>
    </row>
    <row r="42" ht="15.75" customHeight="1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ht="15.75" customHeight="1">
      <c r="B43" s="11" t="inlineStr">
        <is>
          <t>Юридический аудит и проверка соответствия требованиям</t>
        </is>
      </c>
      <c r="C43" s="17" t="inlineStr">
        <is>
          <t>инфляция</t>
        </is>
      </c>
      <c r="D43" s="18">
        <v>25000</v>
      </c>
      <c r="E43" s="23">
        <f>IF($D43="","",$D43*INDEX('C-Допущения'!$C$25:$G$30,MATCH($C43,'C-Допущения'!$B$25:$B$30,0),1))</f>
        <v>25000</v>
      </c>
      <c r="F43" s="18">
        <v>0</v>
      </c>
      <c r="G43" s="18">
        <v>0</v>
      </c>
      <c r="H43" s="18">
        <v>0</v>
      </c>
      <c r="I43" s="18">
        <v>0</v>
      </c>
      <c r="J43" s="23">
        <f>SUM(E43:I43)</f>
        <v>25000</v>
      </c>
      <c r="K43" s="24"/>
      <c r="L43" s="25" t="inlineStr">
        <is>
          <t>Только первый год; проверка NDPA, POPIA и Закона Кении о защите данных.</t>
        </is>
      </c>
    </row>
    <row r="44" ht="15.75" customHeight="1">
      <c r="B44" s="11" t="inlineStr">
        <is>
          <t>Проверка защищённости и испытание на проникновение</t>
        </is>
      </c>
      <c r="C44" s="17" t="inlineStr">
        <is>
          <t>инфляция</t>
        </is>
      </c>
      <c r="D44" s="18">
        <v>35000</v>
      </c>
      <c r="E44" s="23">
        <f>IF($D44="","",$D44*INDEX('C-Допущения'!$C$25:$G$30,MATCH($C44,'C-Допущения'!$B$25:$B$30,0),1))</f>
        <v>35000</v>
      </c>
      <c r="F44" s="23">
        <f>IF($D44="","",$D44*INDEX('C-Допущения'!$C$25:$G$30,MATCH($C44,'C-Допущения'!$B$25:$B$30,0),2))</f>
        <v>37800</v>
      </c>
      <c r="G44" s="23">
        <f>IF($D44="","",$D44*INDEX('C-Допущения'!$C$25:$G$30,MATCH($C44,'C-Допущения'!$B$25:$B$30,0),3))</f>
        <v>40824</v>
      </c>
      <c r="H44" s="23">
        <f>IF($D44="","",$D44*INDEX('C-Допущения'!$C$25:$G$30,MATCH($C44,'C-Допущения'!$B$25:$B$30,0),4))</f>
        <v>44089.92</v>
      </c>
      <c r="I44" s="23">
        <f>IF($D44="","",$D44*INDEX('C-Допущения'!$C$25:$G$30,MATCH($C44,'C-Допущения'!$B$25:$B$30,0),5))</f>
        <v>47617.1136</v>
      </c>
      <c r="J44" s="23">
        <f>SUM(E44:I44)</f>
        <v>205331.0336</v>
      </c>
      <c r="K44" s="24"/>
      <c r="L44" s="25" t="inlineStr">
        <is>
          <t>Ежегодная проверка нескольких кластеров и платформы.</t>
        </is>
      </c>
    </row>
    <row r="45" ht="15.75" customHeight="1">
      <c r="B45" s="11" t="inlineStr">
        <is>
          <t>Перенос данных и интеграции при запуске</t>
        </is>
      </c>
      <c r="C45" s="17" t="inlineStr">
        <is>
          <t>инфляция</t>
        </is>
      </c>
      <c r="D45" s="18">
        <v>100000</v>
      </c>
      <c r="E45" s="23">
        <f>IF($D45="","",$D45*INDEX('C-Допущения'!$C$25:$G$30,MATCH($C45,'C-Допущения'!$B$25:$B$30,0),1))</f>
        <v>100000</v>
      </c>
      <c r="F45" s="18">
        <v>0</v>
      </c>
      <c r="G45" s="18">
        <v>0</v>
      </c>
      <c r="H45" s="18">
        <v>0</v>
      </c>
      <c r="I45" s="18">
        <v>0</v>
      </c>
      <c r="J45" s="23">
        <f>SUM(E45:I45)</f>
        <v>100000</v>
      </c>
      <c r="K45" s="24"/>
      <c r="L45" s="25" t="inlineStr">
        <is>
          <t>Только первый год.</t>
        </is>
      </c>
    </row>
    <row r="46" ht="15.75" customHeight="1">
      <c r="B46" s="11" t="inlineStr">
        <is>
          <t>Обучение команды</t>
        </is>
      </c>
      <c r="C46" s="17" t="inlineStr">
        <is>
          <t>ФОТ</t>
        </is>
      </c>
      <c r="D46" s="18">
        <v>90000</v>
      </c>
      <c r="E46" s="23">
        <f>IF($D46="","",$D46*INDEX('C-Допущения'!$C$25:$G$30,MATCH($C46,'C-Допущения'!$B$25:$B$30,0),1))</f>
        <v>90000</v>
      </c>
      <c r="F46" s="18">
        <v>0</v>
      </c>
      <c r="G46" s="18">
        <v>0</v>
      </c>
      <c r="H46" s="18">
        <v>0</v>
      </c>
      <c r="I46" s="18">
        <v>0</v>
      </c>
      <c r="J46" s="23">
        <f>SUM(E46:I46)</f>
        <v>90000</v>
      </c>
      <c r="K46" s="24"/>
      <c r="L46" s="25" t="inlineStr">
        <is>
          <t>Только первый год.</t>
        </is>
      </c>
    </row>
    <row r="47" ht="15.75" customHeight="1">
      <c r="B47" s="11" t="inlineStr">
        <is>
          <t/>
        </is>
      </c>
      <c r="C47" s="17" t="inlineStr">
        <is>
          <t>инфляция</t>
        </is>
      </c>
      <c r="D47" s="18"/>
      <c r="E47" s="23">
        <f>IF($D47="","",$D47*INDEX('C-Допущения'!$C$25:$G$30,MATCH($C47,'C-Допущения'!$B$25:$B$30,0),1))</f>
        <v/>
      </c>
      <c r="F47" s="23">
        <f>IF($D47="","",$D47*INDEX('C-Допущения'!$C$25:$G$30,MATCH($C47,'C-Допущения'!$B$25:$B$30,0),2))</f>
        <v/>
      </c>
      <c r="G47" s="23">
        <f>IF($D47="","",$D47*INDEX('C-Допущения'!$C$25:$G$30,MATCH($C47,'C-Допущения'!$B$25:$B$30,0),3))</f>
        <v/>
      </c>
      <c r="H47" s="23">
        <f>IF($D47="","",$D47*INDEX('C-Допущения'!$C$25:$G$30,MATCH($C47,'C-Допущения'!$B$25:$B$30,0),4))</f>
        <v/>
      </c>
      <c r="I47" s="23">
        <f>IF($D47="","",$D47*INDEX('C-Допущения'!$C$25:$G$30,MATCH($C47,'C-Допущения'!$B$25:$B$30,0),5))</f>
        <v/>
      </c>
      <c r="J47" s="23">
        <f>SUM(E47:I47)</f>
        <v>0</v>
      </c>
      <c r="K47" s="24"/>
      <c r="L47" s="25" t="inlineStr">
        <is>
          <t/>
        </is>
      </c>
    </row>
    <row r="48" ht="15.75" customHeight="1">
      <c r="B48" s="26" t="s">
        <v>114</v>
      </c>
      <c r="C48" s="27"/>
      <c r="D48" s="27"/>
      <c r="E48" s="28">
        <f>SUM(E43:E47)</f>
        <v>250000</v>
      </c>
      <c r="F48" s="28">
        <f>SUM(F43:F47)</f>
        <v>37800</v>
      </c>
      <c r="G48" s="28">
        <f>SUM(G43:G47)</f>
        <v>40824</v>
      </c>
      <c r="H48" s="28">
        <f>SUM(H43:H47)</f>
        <v>44089.92</v>
      </c>
      <c r="I48" s="28">
        <f>SUM(I43:I47)</f>
        <v>47617.1136</v>
      </c>
      <c r="J48" s="28">
        <f>SUM(E48:I48)</f>
        <v>420331.0336</v>
      </c>
      <c r="K48" s="29">
        <f>IFERROR(J48/$J$51,0)</f>
        <v>0.00770378462274039</v>
      </c>
      <c r="L48" s="27"/>
    </row>
    <row r="49" ht="15.75" customHeight="1">
      <c r="C49" s="30"/>
    </row>
    <row r="50" ht="15.75" customHeight="1">
      <c r="B50" s="15" t="s">
        <v>153</v>
      </c>
      <c r="C50" s="30"/>
      <c r="E50" s="31">
        <f>(E15+E24+E32+E40+E48)*'C-Допущения'!$C$17</f>
        <v>350505</v>
      </c>
      <c r="F50" s="31">
        <f>(F15+F24+F32+F40+F48)*'C-Допущения'!$C$17</f>
        <v>559978.065821737</v>
      </c>
      <c r="G50" s="31">
        <f>(G15+G24+G32+G40+G48)*'C-Допущения'!$C$17</f>
        <v>1171202.356719</v>
      </c>
      <c r="H50" s="31">
        <f>(H15+H24+H32+H40+H48)*'C-Допущения'!$C$17</f>
        <v>2055907.8275533</v>
      </c>
      <c r="I50" s="31">
        <f>(I15+I24+I32+I40+I48)*'C-Допущения'!$C$17</f>
        <v>2979140.88464112</v>
      </c>
      <c r="J50" s="23">
        <f>SUM(E50:I50)</f>
        <v>7116734.13473515</v>
      </c>
      <c r="L50" s="6" t="s">
        <v>154</v>
      </c>
    </row>
    <row r="51" ht="15.75" customHeight="1">
      <c r="B51" s="26" t="s">
        <v>155</v>
      </c>
      <c r="C51" s="30"/>
      <c r="E51" s="28">
        <f>E15+E24+E32+E40+E48+E50</f>
        <v>2687205</v>
      </c>
      <c r="F51" s="28">
        <f>F15+F24+F32+F40+F48+F50</f>
        <v>4293165.17129998</v>
      </c>
      <c r="G51" s="28">
        <f>G15+G24+G32+G40+G48+G50</f>
        <v>8979218.068179</v>
      </c>
      <c r="H51" s="28">
        <f>H15+H24+H32+H40+H48+H50</f>
        <v>15761960.011242</v>
      </c>
      <c r="I51" s="28">
        <f>I15+I24+I32+I40+I48+I50</f>
        <v>22840080.1155819</v>
      </c>
      <c r="J51" s="28">
        <f>SUM(E51:I51)</f>
        <v>54561628.3663028</v>
      </c>
    </row>
    <row r="52" ht="15.75" customHeight="1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ht="15.75" customHeight="1">
      <c r="B53" s="11" t="s">
        <v>157</v>
      </c>
      <c r="E53" s="31">
        <f>(1-'C-Допущения'!$C$20)*525600*'C-Допущения'!$C$19*'C-Допущения'!$C$21</f>
        <v>630719.999999931</v>
      </c>
      <c r="F53" s="31">
        <f>(1-'C-Допущения'!$C$20)*525600*'C-Допущения'!$C$19*'C-Допущения'!$C$21</f>
        <v>630719.999999931</v>
      </c>
      <c r="G53" s="31">
        <f>(1-'C-Допущения'!$C$20)*525600*'C-Допущения'!$C$19*'C-Допущения'!$C$21</f>
        <v>630719.999999931</v>
      </c>
      <c r="H53" s="31">
        <f>(1-'C-Допущения'!$C$20)*525600*'C-Допущения'!$C$19*'C-Допущения'!$C$21</f>
        <v>630719.999999931</v>
      </c>
      <c r="I53" s="31">
        <f>(1-'C-Допущения'!$C$20)*525600*'C-Допущения'!$C$19*'C-Допущения'!$C$21</f>
        <v>630719.999999931</v>
      </c>
      <c r="J53" s="23">
        <f>SUM(E53:I53)</f>
        <v>3153599.99999965</v>
      </c>
      <c r="L53" s="13" t="s">
        <v>158</v>
      </c>
    </row>
    <row r="54" ht="15.75" customHeight="1">
      <c r="B54" s="26" t="s">
        <v>159</v>
      </c>
      <c r="E54" s="28">
        <f>E51+E53</f>
        <v>3317924.99999993</v>
      </c>
      <c r="F54" s="28">
        <f>F51+F53</f>
        <v>4923885.17129991</v>
      </c>
      <c r="G54" s="28">
        <f>G51+G53</f>
        <v>9609938.06817893</v>
      </c>
      <c r="H54" s="28">
        <f>H51+H53</f>
        <v>16392680.0112419</v>
      </c>
      <c r="I54" s="28">
        <f>I51+I53</f>
        <v>23470800.1155818</v>
      </c>
      <c r="J54" s="28">
        <f>SUM(E54:I54)</f>
        <v>57715228.3663025</v>
      </c>
    </row>
    <row r="55" ht="15.75" customHeight="1">
      <c r="B55" s="11" t="s">
        <v>160</v>
      </c>
      <c r="E55" s="32">
        <f>1/(1+'C-Допущения'!$C$16)^0</f>
        <v>1</v>
      </c>
      <c r="F55" s="32">
        <f>1/(1+'C-Допущения'!$C$16)^1</f>
        <v>0.833333333333333</v>
      </c>
      <c r="G55" s="32">
        <f>1/(1+'C-Допущения'!$C$16)^2</f>
        <v>0.694444444444444</v>
      </c>
      <c r="H55" s="32">
        <f>1/(1+'C-Допущения'!$C$16)^3</f>
        <v>0.578703703703704</v>
      </c>
      <c r="I55" s="32">
        <f>1/(1+'C-Допущения'!$C$16)^4</f>
        <v>0.482253086419753</v>
      </c>
    </row>
    <row r="56" ht="15.75" customHeight="1">
      <c r="B56" s="26" t="s">
        <v>161</v>
      </c>
      <c r="E56" s="28">
        <f>E54*E55</f>
        <v>3317924.99999993</v>
      </c>
      <c r="F56" s="28">
        <f>F54*F55</f>
        <v>4103237.64274993</v>
      </c>
      <c r="G56" s="28">
        <f>G54*G55</f>
        <v>6673568.10290203</v>
      </c>
      <c r="H56" s="28">
        <f>H54*H55</f>
        <v>9486504.63613535</v>
      </c>
      <c r="I56" s="28">
        <f>I54*I55</f>
        <v>11318865.7964804</v>
      </c>
      <c r="J56" s="28">
        <f>SUM(E56:I56)</f>
        <v>34900101.1782677</v>
      </c>
    </row>
    <row r="57" ht="15.75" customHeight="1"/>
    <row r="58" ht="15.75" customHeight="1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ht="15.75" customHeight="1">
      <c r="B59" s="15" t="s">
        <v>163</v>
      </c>
      <c r="E59" s="33">
        <f>J51</f>
        <v>54561628.3663028</v>
      </c>
      <c r="F59" s="34"/>
      <c r="L59" s="13" t="s">
        <v>164</v>
      </c>
    </row>
    <row r="60" ht="15.75" customHeight="1">
      <c r="B60" s="15" t="s">
        <v>165</v>
      </c>
      <c r="E60" s="33">
        <f>J54</f>
        <v>57715228.3663025</v>
      </c>
      <c r="F60" s="34"/>
      <c r="L60" s="13" t="s">
        <v>166</v>
      </c>
    </row>
    <row r="61" ht="15.75" customHeight="1">
      <c r="B61" s="15" t="s">
        <v>167</v>
      </c>
      <c r="E61" s="33">
        <f>J56</f>
        <v>34900101.1782677</v>
      </c>
      <c r="F61" s="34"/>
      <c r="L61" s="13" t="s">
        <v>168</v>
      </c>
    </row>
    <row r="62" ht="15.75" customHeight="1">
      <c r="B62" s="15" t="s">
        <v>169</v>
      </c>
      <c r="E62" s="33">
        <f>J51/5</f>
        <v>10912325.6732606</v>
      </c>
      <c r="F62" s="34"/>
      <c r="L62" s="13" t="s">
        <v>170</v>
      </c>
    </row>
    <row r="63" ht="15.75" customHeight="1">
      <c r="B63" s="15" t="s">
        <v>171</v>
      </c>
      <c r="E63" s="33">
        <f>E15/12</f>
        <v>37500</v>
      </c>
      <c r="F63" s="34"/>
      <c r="L63" s="13" t="s">
        <v>172</v>
      </c>
    </row>
    <row r="64" ht="15.75" customHeight="1">
      <c r="B64" s="15" t="s">
        <v>173</v>
      </c>
      <c r="E64" s="35" t="str">
        <f>IF(E15/12&lt;='C-Допущения'!$C$18,"В бюджете CFO","ПРЕВЫШЕНИЕ бюджета")</f>
        <v>ПРЕВЫШЕНИЕ бюджета</v>
      </c>
      <c r="F64" s="34"/>
      <c r="L64" s="13" t="s">
        <v>174</v>
      </c>
    </row>
    <row r="65" ht="15.75" customHeight="1">
      <c r="B65" s="15" t="s">
        <v>175</v>
      </c>
      <c r="E65" s="36">
        <f>IFERROR(J51/SUM('C-Допущения'!$C$8:$G$8),0)</f>
        <v>1.43206373664837</v>
      </c>
      <c r="F65" s="34"/>
      <c r="L65" s="13" t="s">
        <v>176</v>
      </c>
    </row>
    <row r="66" ht="15.75" customHeight="1">
      <c r="B66" s="15" t="s">
        <v>177</v>
      </c>
      <c r="E66" s="36">
        <f>IFERROR(I51/'C-Допущения'!$G$7,0)</f>
        <v>2.28400801155819</v>
      </c>
      <c r="F66" s="34"/>
      <c r="L66" s="13" t="s">
        <v>178</v>
      </c>
    </row>
    <row r="67" ht="15.75" customHeight="1">
      <c r="B67" s="15" t="s">
        <v>179</v>
      </c>
      <c r="E67" s="37">
        <f>IFERROR(J51/SUM('C-Допущения'!$C$10:$G$10),0)</f>
        <v>0.0507880744357282</v>
      </c>
      <c r="F67" s="34"/>
      <c r="L67" s="13" t="s">
        <v>180</v>
      </c>
    </row>
    <row r="68" ht="15.75" customHeight="1">
      <c r="B68" s="15" t="s">
        <v>181</v>
      </c>
      <c r="E68" s="38">
        <f>IFERROR(J15/J51,0)</f>
        <v>0.084023242026761</v>
      </c>
      <c r="F68" s="34"/>
      <c r="L68" s="13" t="s">
        <v>182</v>
      </c>
    </row>
    <row r="69" ht="15.75" customHeight="1">
      <c r="B69" s="15" t="s">
        <v>183</v>
      </c>
      <c r="E69" s="38">
        <f>IFERROR(J32/J51,0)</f>
        <v>0.610951340678595</v>
      </c>
      <c r="F69" s="34"/>
      <c r="L69" s="13" t="s">
        <v>184</v>
      </c>
    </row>
    <row r="70" ht="15.75" customHeight="1">
      <c r="B70" s="15" t="s">
        <v>185</v>
      </c>
      <c r="E70" s="38">
        <f>IFERROR(J40/J51,0)</f>
        <v>0.141118423897247</v>
      </c>
      <c r="F70" s="34"/>
      <c r="L70" s="13" t="s">
        <v>186</v>
      </c>
    </row>
    <row r="71" ht="15.75" customHeight="1"/>
    <row r="72" ht="15.75" customHeight="1">
      <c r="B72" s="39" t="s">
        <v>187</v>
      </c>
    </row>
    <row r="73" ht="15.0" customHeight="1">
      <c r="B73" s="40" t="inlineStr">
        <is>
          <t>Целевая платформа технического директора: прямые совокупные затраты за пять лет — $54,56 млн, регулярные технологические расходы — около $53 017 в месяц. Kubernetes, Apache Kafka, Oracle, резервирование «активный — активный» и команда из 15–20 человек не укладываются в срок и бюджет; пересмотр возможен после подтверждения нагрузки и финансирования платформенной команды.</t>
        </is>
      </c>
      <c r="C73" s="41"/>
      <c r="D73" s="41"/>
      <c r="E73" s="41"/>
      <c r="F73" s="41"/>
      <c r="G73" s="41"/>
      <c r="H73" s="41"/>
      <c r="I73" s="41"/>
      <c r="J73" s="41"/>
      <c r="K73" s="41"/>
      <c r="L73" s="42"/>
    </row>
    <row r="74" ht="15.75" customHeight="1">
      <c r="B74" s="43"/>
      <c r="L74" s="44"/>
    </row>
    <row r="75" ht="15.75" customHeight="1">
      <c r="B75" s="45"/>
      <c r="C75" s="46"/>
      <c r="D75" s="46"/>
      <c r="E75" s="46"/>
      <c r="F75" s="46"/>
      <c r="G75" s="46"/>
      <c r="H75" s="46"/>
      <c r="I75" s="46"/>
      <c r="J75" s="46"/>
      <c r="K75" s="46"/>
      <c r="L75" s="47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6:F66"/>
    <mergeCell ref="E67:F67"/>
    <mergeCell ref="E68:F68"/>
    <mergeCell ref="E69:F69"/>
    <mergeCell ref="E70:F70"/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</mergeCells>
  <dataValidations>
    <dataValidation type="list" allowBlank="1" sqref="C6:C51">
      <formula1>"мощность,нагрузка заказов,инфляция,ФОТ,заказы,оборот (GMV)"</formula1>
    </dataValidation>
  </dataValidations>
  <printOptions/>
  <pageMargins bottom="1.0" footer="0.0" header="0.0" left="0.75" right="0.75" top="1.0"/>
  <pageSetup paperSize="9" orientation="portrait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2026-08-24T07:50:39Z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